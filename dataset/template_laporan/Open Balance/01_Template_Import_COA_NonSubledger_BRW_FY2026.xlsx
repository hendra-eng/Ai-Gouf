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ok\Downloads\"/>
    </mc:Choice>
  </mc:AlternateContent>
  <xr:revisionPtr revIDLastSave="0" documentId="13_ncr:1_{7BA6E8C7-6049-4E1A-A85A-D2444639E06B}" xr6:coauthVersionLast="47" xr6:coauthVersionMax="47" xr10:uidLastSave="{00000000-0000-0000-0000-000000000000}"/>
  <bookViews>
    <workbookView xWindow="-120" yWindow="-120" windowWidth="29040" windowHeight="15720" xr2:uid="{00000000-000D-0000-FFFF-FFFF00000000}"/>
  </bookViews>
  <sheets>
    <sheet name="COA_NON_SUBLEDGER" sheetId="1" r:id="rId1"/>
    <sheet name="Cara Penggunaan" sheetId="2" r:id="rId2"/>
    <sheet name="Standard Reference" sheetId="3" r:id="rId3"/>
    <sheet name="ZAFEB_COA" sheetId="4" state="hidden" r:id="rId4"/>
  </sheets>
  <definedNames>
    <definedName name="_xlnm._FilterDatabase" localSheetId="2" hidden="1">'Standard Reference'!$A$4:$J$114</definedName>
    <definedName name="ZCLASS_LIST">ZAFEB_COA!$F$2:$F$10</definedName>
    <definedName name="ZCOA_CLASS">ZAFEB_COA!$C$2:$C$111</definedName>
    <definedName name="ZCOA_CODE">ZAFEB_COA!$A$2:$A$111</definedName>
    <definedName name="ZCOA_NAME">ZAFEB_COA!$B$2:$B$111</definedName>
    <definedName name="ZCOA_STD">ZAFEB_COA!$D$2:$D$111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4" i="1" l="1"/>
  <c r="E47" i="1"/>
  <c r="E37" i="1"/>
  <c r="C9" i="1"/>
  <c r="C8" i="1"/>
  <c r="C7" i="1"/>
  <c r="C6" i="1"/>
  <c r="E95" i="1"/>
  <c r="C95" i="1"/>
  <c r="C94" i="1"/>
  <c r="E93" i="1"/>
  <c r="C93" i="1"/>
  <c r="E92" i="1"/>
  <c r="C92" i="1"/>
  <c r="E91" i="1"/>
  <c r="C91" i="1"/>
  <c r="E90" i="1"/>
  <c r="C90" i="1"/>
  <c r="E89" i="1"/>
  <c r="C89" i="1"/>
  <c r="E88" i="1"/>
  <c r="C88" i="1"/>
  <c r="E87" i="1"/>
  <c r="C87" i="1"/>
  <c r="E86" i="1"/>
  <c r="C86" i="1"/>
  <c r="E85" i="1"/>
  <c r="C85" i="1"/>
  <c r="E84" i="1"/>
  <c r="C84" i="1"/>
  <c r="E83" i="1"/>
  <c r="C83" i="1"/>
  <c r="E82" i="1"/>
  <c r="C82" i="1"/>
  <c r="E81" i="1"/>
  <c r="C81" i="1"/>
  <c r="E80" i="1"/>
  <c r="C80" i="1"/>
  <c r="E79" i="1"/>
  <c r="C79" i="1"/>
  <c r="E78" i="1"/>
  <c r="C78" i="1"/>
  <c r="E77" i="1"/>
  <c r="C77" i="1"/>
  <c r="E76" i="1"/>
  <c r="C76" i="1"/>
  <c r="E75" i="1"/>
  <c r="C75" i="1"/>
  <c r="E74" i="1"/>
  <c r="E73" i="1"/>
  <c r="E72" i="1"/>
  <c r="E71" i="1"/>
  <c r="E70" i="1"/>
  <c r="E69" i="1"/>
  <c r="E68" i="1"/>
  <c r="C68" i="1"/>
  <c r="E67" i="1"/>
  <c r="E66" i="1"/>
  <c r="C66" i="1"/>
  <c r="E65" i="1"/>
  <c r="C65" i="1"/>
  <c r="E64" i="1"/>
  <c r="C64" i="1"/>
  <c r="E63" i="1"/>
  <c r="C63" i="1"/>
  <c r="E62" i="1"/>
  <c r="C62" i="1"/>
  <c r="E61" i="1"/>
  <c r="C61" i="1"/>
  <c r="E60" i="1"/>
  <c r="C60" i="1"/>
  <c r="E59" i="1"/>
  <c r="E58" i="1"/>
  <c r="E57" i="1"/>
  <c r="E56" i="1"/>
  <c r="E55" i="1"/>
  <c r="E54" i="1"/>
  <c r="E53" i="1"/>
  <c r="E52" i="1"/>
  <c r="E51" i="1"/>
  <c r="E50" i="1"/>
  <c r="E49" i="1"/>
  <c r="E48" i="1"/>
  <c r="C47" i="1"/>
  <c r="E46" i="1"/>
  <c r="C46" i="1"/>
  <c r="E45" i="1"/>
  <c r="C45" i="1"/>
  <c r="E44" i="1"/>
  <c r="C44" i="1"/>
  <c r="E43" i="1"/>
  <c r="C43" i="1"/>
  <c r="E42" i="1"/>
  <c r="C42" i="1"/>
  <c r="E41" i="1"/>
  <c r="C41" i="1"/>
  <c r="E40" i="1"/>
  <c r="C40" i="1"/>
  <c r="E39" i="1"/>
  <c r="C39" i="1"/>
  <c r="E38" i="1"/>
  <c r="C38" i="1"/>
  <c r="C37" i="1"/>
  <c r="E36" i="1"/>
  <c r="E35" i="1"/>
  <c r="E34" i="1"/>
  <c r="E33" i="1"/>
  <c r="E32" i="1"/>
  <c r="E31" i="1"/>
  <c r="E30" i="1"/>
  <c r="E29" i="1"/>
  <c r="C29" i="1"/>
  <c r="E28" i="1"/>
  <c r="C28" i="1"/>
  <c r="E27" i="1"/>
  <c r="C27" i="1"/>
  <c r="E26" i="1"/>
  <c r="C26" i="1"/>
  <c r="E25" i="1"/>
  <c r="C25" i="1"/>
  <c r="E24" i="1"/>
  <c r="C24" i="1"/>
  <c r="E23" i="1"/>
  <c r="C23" i="1"/>
  <c r="E22" i="1"/>
  <c r="C22" i="1"/>
  <c r="E21" i="1"/>
  <c r="C21" i="1"/>
  <c r="E20" i="1"/>
  <c r="C20" i="1"/>
  <c r="E19" i="1"/>
  <c r="C19" i="1"/>
  <c r="E18" i="1"/>
  <c r="C18" i="1"/>
  <c r="E17" i="1"/>
  <c r="C17" i="1"/>
  <c r="E16" i="1"/>
  <c r="C16" i="1"/>
  <c r="E15" i="1"/>
  <c r="C15" i="1"/>
  <c r="E14" i="1"/>
  <c r="C14" i="1"/>
  <c r="E13" i="1"/>
  <c r="C13" i="1"/>
  <c r="E12" i="1"/>
  <c r="C12" i="1"/>
  <c r="E11" i="1"/>
  <c r="C11" i="1"/>
  <c r="E10" i="1"/>
  <c r="C10" i="1"/>
  <c r="E9" i="1"/>
  <c r="E8" i="1"/>
  <c r="E7" i="1"/>
  <c r="Q6" i="1"/>
  <c r="E6" i="1"/>
  <c r="Q5" i="1"/>
  <c r="E5" i="1"/>
  <c r="C5" i="1"/>
  <c r="Q7" i="1" l="1"/>
  <c r="Q8" i="1" s="1"/>
</calcChain>
</file>

<file path=xl/sharedStrings.xml><?xml version="1.0" encoding="utf-8"?>
<sst xmlns="http://schemas.openxmlformats.org/spreadsheetml/2006/main" count="1992" uniqueCount="755">
  <si>
    <t>ZAFEB – IMPORT LEGACY COA + NON-SUBLEDGER OPENING BALANCES · BRW · FY 2026</t>
  </si>
  <si>
    <t>Use this template for the legacy chart of accounts and NON-SUBLEDGER opening balances. Every account of this client's COA is listed: replace Source Account Code / Name with your legacy values and fill in the balances — after approval the Source Account Name becomes the account name, and these balances REPLACE all opening balance lines. Each ZAFEB account may be used once. For extra legacy accounts use the empty rows below and pick ONE of Suggested ZAFEB Account Code / Account Name / Standard Account Code (the other columns fill in). Required: Source Account Code &amp; Name, Opening Debit/Credit (&gt;= 0), Balance Date = cut-off date (31-May-2026) and Currency IDR. Total debit must equal total credit. Control accounts (AR, AP, Inventory, Fixed Assets) must stay 0 — they are imported through separate files.</t>
  </si>
  <si>
    <t>Source Account Code</t>
  </si>
  <si>
    <t>Source Account Name</t>
  </si>
  <si>
    <t>Source Classification</t>
  </si>
  <si>
    <t>Suggested ZAFEB Account Code</t>
  </si>
  <si>
    <t>Suggested ZAFEB Account Name</t>
  </si>
  <si>
    <t>Standard Account Code</t>
  </si>
  <si>
    <t>Opening Debit</t>
  </si>
  <si>
    <t>Opening Credit</t>
  </si>
  <si>
    <t>Balance Date</t>
  </si>
  <si>
    <t>Currency</t>
  </si>
  <si>
    <t>Branch</t>
  </si>
  <si>
    <t>Department</t>
  </si>
  <si>
    <t>Project</t>
  </si>
  <si>
    <t>Notes</t>
  </si>
  <si>
    <t>CONTROL SUMMARY</t>
  </si>
  <si>
    <t>1-10001</t>
  </si>
  <si>
    <t>Cash on Hand</t>
  </si>
  <si>
    <t>IDR</t>
  </si>
  <si>
    <t>Total Debit</t>
  </si>
  <si>
    <t>1-10002</t>
  </si>
  <si>
    <t>Petty Cash</t>
  </si>
  <si>
    <t>Total Credit</t>
  </si>
  <si>
    <t>1-10003</t>
  </si>
  <si>
    <t>Bank Account 1</t>
  </si>
  <si>
    <t>Difference</t>
  </si>
  <si>
    <t>1-10004</t>
  </si>
  <si>
    <t>Bank Account 2</t>
  </si>
  <si>
    <t>Status</t>
  </si>
  <si>
    <t>1-10005</t>
  </si>
  <si>
    <t>Bank Account 3</t>
  </si>
  <si>
    <t>1-10006</t>
  </si>
  <si>
    <t>Bank Account 4</t>
  </si>
  <si>
    <t>1-10007</t>
  </si>
  <si>
    <t>Cash in Transit</t>
  </si>
  <si>
    <t>1-10008</t>
  </si>
  <si>
    <t>Interbank Transfer Clearing (Ayat Silang)</t>
  </si>
  <si>
    <t>1-10009</t>
  </si>
  <si>
    <t>Advances and Down Payments</t>
  </si>
  <si>
    <t>1-10010</t>
  </si>
  <si>
    <t>Allowance for Credit Losses</t>
  </si>
  <si>
    <t>1-10011</t>
  </si>
  <si>
    <t>Prepaid Income Taxes</t>
  </si>
  <si>
    <t>1-10012</t>
  </si>
  <si>
    <t>Input VAT Receivable</t>
  </si>
  <si>
    <t>1-10013</t>
  </si>
  <si>
    <t>Inventories</t>
  </si>
  <si>
    <t>1-10014</t>
  </si>
  <si>
    <t>Other Current Assets</t>
  </si>
  <si>
    <t>1-10015</t>
  </si>
  <si>
    <t>Employee Receivables</t>
  </si>
  <si>
    <t>1-10016</t>
  </si>
  <si>
    <t>Other Receivables</t>
  </si>
  <si>
    <t>1-10017</t>
  </si>
  <si>
    <t>Prepayment</t>
  </si>
  <si>
    <t>1-10018</t>
  </si>
  <si>
    <t>Related Party Receivables</t>
  </si>
  <si>
    <t>1-10019</t>
  </si>
  <si>
    <t>Deposit</t>
  </si>
  <si>
    <t>1-10020</t>
  </si>
  <si>
    <t>Trade Receivables</t>
  </si>
  <si>
    <t>1-10021</t>
  </si>
  <si>
    <t>Service / Repair Receivables</t>
  </si>
  <si>
    <t>1-10022</t>
  </si>
  <si>
    <t>Spare Parts / Consumables Inventory</t>
  </si>
  <si>
    <t>1-10023</t>
  </si>
  <si>
    <t>Ppe Accum Depreciation</t>
  </si>
  <si>
    <t>1-10024</t>
  </si>
  <si>
    <t>Impairment Allowance</t>
  </si>
  <si>
    <t>1-10025</t>
  </si>
  <si>
    <t>Tax Deferred</t>
  </si>
  <si>
    <t>1-10026</t>
  </si>
  <si>
    <t>Long-term Investments</t>
  </si>
  <si>
    <t>1-10027</t>
  </si>
  <si>
    <t>Security Deposit</t>
  </si>
  <si>
    <t>1-10028</t>
  </si>
  <si>
    <t>Ppe Building</t>
  </si>
  <si>
    <t>1-10029</t>
  </si>
  <si>
    <t>Ppe Cip</t>
  </si>
  <si>
    <t>1-10030</t>
  </si>
  <si>
    <t>Ppe Equipment</t>
  </si>
  <si>
    <t>1-10031</t>
  </si>
  <si>
    <t>Ppe Land</t>
  </si>
  <si>
    <t>1-10032</t>
  </si>
  <si>
    <t>Ppe Vehicle</t>
  </si>
  <si>
    <t>2-10001</t>
  </si>
  <si>
    <t>Accrued Employee Costs</t>
  </si>
  <si>
    <t>2-10002</t>
  </si>
  <si>
    <t>Accrued Expenses</t>
  </si>
  <si>
    <t>2-10003</t>
  </si>
  <si>
    <t>Current Borrowings</t>
  </si>
  <si>
    <t>2-10004</t>
  </si>
  <si>
    <t>Deferred / Contract Revenue</t>
  </si>
  <si>
    <t>2-10005</t>
  </si>
  <si>
    <t>Other Current Liabilities</t>
  </si>
  <si>
    <t>2-10006</t>
  </si>
  <si>
    <t>Other Payables</t>
  </si>
  <si>
    <t>2-10007</t>
  </si>
  <si>
    <t>Related Party Payables</t>
  </si>
  <si>
    <t>2-10008</t>
  </si>
  <si>
    <t>Income Tax Payable</t>
  </si>
  <si>
    <t>2-10009</t>
  </si>
  <si>
    <t>Other Tax Payables</t>
  </si>
  <si>
    <t>2-10010</t>
  </si>
  <si>
    <t>Output VAT Payable</t>
  </si>
  <si>
    <t>2-10011</t>
  </si>
  <si>
    <t>Trade Payables</t>
  </si>
  <si>
    <t>2-10012</t>
  </si>
  <si>
    <t>Long-term Borrowings</t>
  </si>
  <si>
    <t>2-10013</t>
  </si>
  <si>
    <t>2-10014</t>
  </si>
  <si>
    <t>Employee Benefit Obligations</t>
  </si>
  <si>
    <t>2-10015</t>
  </si>
  <si>
    <t>Lease Liabilities</t>
  </si>
  <si>
    <t>2-10016</t>
  </si>
  <si>
    <t>Borrowing Related Party</t>
  </si>
  <si>
    <t>3-10001</t>
  </si>
  <si>
    <t>Additional Paid-in Capital</t>
  </si>
  <si>
    <t>3-10002</t>
  </si>
  <si>
    <t>Current Period Earnings</t>
  </si>
  <si>
    <t>3-10003</t>
  </si>
  <si>
    <t>Other Comprehensive Income</t>
  </si>
  <si>
    <t>3-10004</t>
  </si>
  <si>
    <t>Other Equity</t>
  </si>
  <si>
    <t>3-10005</t>
  </si>
  <si>
    <t>Owner Drawings</t>
  </si>
  <si>
    <t>3-10006</t>
  </si>
  <si>
    <t>Retained Earnings</t>
  </si>
  <si>
    <t>3-10007</t>
  </si>
  <si>
    <t>Share Capital</t>
  </si>
  <si>
    <t>4-10001</t>
  </si>
  <si>
    <t>Sales Revenue</t>
  </si>
  <si>
    <t>4-10002</t>
  </si>
  <si>
    <t>Service Revenue</t>
  </si>
  <si>
    <t>4-10003</t>
  </si>
  <si>
    <t>Repair &amp; Maintenance Service Revenue</t>
  </si>
  <si>
    <t>4-10004</t>
  </si>
  <si>
    <t>Personal / Membership Service Revenue</t>
  </si>
  <si>
    <t>4-10005</t>
  </si>
  <si>
    <t>Unbilled Revenue</t>
  </si>
  <si>
    <t>4-10006</t>
  </si>
  <si>
    <t>Other Operating Revenue</t>
  </si>
  <si>
    <t>4-10007</t>
  </si>
  <si>
    <t>Sales Discounts</t>
  </si>
  <si>
    <t>4-10008</t>
  </si>
  <si>
    <t>Sales Returns</t>
  </si>
  <si>
    <t>5-10001</t>
  </si>
  <si>
    <t>Purchases / Merchandise Cost</t>
  </si>
  <si>
    <t>5-10002</t>
  </si>
  <si>
    <t>Production Cost</t>
  </si>
  <si>
    <t>5-10003</t>
  </si>
  <si>
    <t>Freight / Delivery Cost</t>
  </si>
  <si>
    <t>5-10004</t>
  </si>
  <si>
    <t>Spare Parts &amp; Direct Service Cost</t>
  </si>
  <si>
    <t>5-10005</t>
  </si>
  <si>
    <t>Other Cost of Sales</t>
  </si>
  <si>
    <t>5-10006</t>
  </si>
  <si>
    <t>Purchase Discounts</t>
  </si>
  <si>
    <t>5-10007</t>
  </si>
  <si>
    <t>Purchase Returns</t>
  </si>
  <si>
    <t>6-10001</t>
  </si>
  <si>
    <t>Amortisation</t>
  </si>
  <si>
    <t>6-10002</t>
  </si>
  <si>
    <t>Bank &amp; Payment Charges</t>
  </si>
  <si>
    <t>6-10003</t>
  </si>
  <si>
    <t>Bonus &amp; Overtime</t>
  </si>
  <si>
    <t>6-10004</t>
  </si>
  <si>
    <t>Cleaning &amp; Security</t>
  </si>
  <si>
    <t>6-10005</t>
  </si>
  <si>
    <t>Communication &amp; Internet</t>
  </si>
  <si>
    <t>6-10006</t>
  </si>
  <si>
    <t>Credit Loss / Bad Debt</t>
  </si>
  <si>
    <t>6-10007</t>
  </si>
  <si>
    <t>Depreciation</t>
  </si>
  <si>
    <t>6-10008</t>
  </si>
  <si>
    <t>Donation &amp; Community</t>
  </si>
  <si>
    <t>6-10009</t>
  </si>
  <si>
    <t>Employee Benefits</t>
  </si>
  <si>
    <t>6-10010</t>
  </si>
  <si>
    <t>Freight &amp; Courier</t>
  </si>
  <si>
    <t>6-10011</t>
  </si>
  <si>
    <t>Insurance</t>
  </si>
  <si>
    <t>6-10012</t>
  </si>
  <si>
    <t>Laundry &amp; Linen</t>
  </si>
  <si>
    <t>6-10013</t>
  </si>
  <si>
    <t>Marketing &amp; Promotion</t>
  </si>
  <si>
    <t>6-10014</t>
  </si>
  <si>
    <t>Meals &amp; Entertainment</t>
  </si>
  <si>
    <t>6-10015</t>
  </si>
  <si>
    <t>Office &amp; Administration</t>
  </si>
  <si>
    <t>6-10016</t>
  </si>
  <si>
    <t>Operating Supplies</t>
  </si>
  <si>
    <t>6-10017</t>
  </si>
  <si>
    <t>Other Operating Expense</t>
  </si>
  <si>
    <t>6-10018</t>
  </si>
  <si>
    <t>Penalties &amp; Fines</t>
  </si>
  <si>
    <t>6-10019</t>
  </si>
  <si>
    <t>Pre-Operating Expense</t>
  </si>
  <si>
    <t>6-10020</t>
  </si>
  <si>
    <t>Professional Fees</t>
  </si>
  <si>
    <t>6-10021</t>
  </si>
  <si>
    <t>Rent Expense</t>
  </si>
  <si>
    <t>6-10022</t>
  </si>
  <si>
    <t>Repair &amp; Maintenance</t>
  </si>
  <si>
    <t>6-10023</t>
  </si>
  <si>
    <t>Research &amp; Development</t>
  </si>
  <si>
    <t>6-10024</t>
  </si>
  <si>
    <t>Salaries &amp; Wages</t>
  </si>
  <si>
    <t>6-10025</t>
  </si>
  <si>
    <t>Severance / Post-Employment Cost</t>
  </si>
  <si>
    <t>6-10026</t>
  </si>
  <si>
    <t>Taxes &amp; Licenses</t>
  </si>
  <si>
    <t>6-10027</t>
  </si>
  <si>
    <t>Training &amp; Development</t>
  </si>
  <si>
    <t>6-10028</t>
  </si>
  <si>
    <t>Transport &amp; Travel</t>
  </si>
  <si>
    <t>6-10029</t>
  </si>
  <si>
    <t>Utilities</t>
  </si>
  <si>
    <t>6-10030</t>
  </si>
  <si>
    <t>Owner / Personal Expense</t>
  </si>
  <si>
    <t>7-10001</t>
  </si>
  <si>
    <t>Commission / Investment Income</t>
  </si>
  <si>
    <t>7-10002</t>
  </si>
  <si>
    <t>Dividend Income</t>
  </si>
  <si>
    <t>7-10003</t>
  </si>
  <si>
    <t>Foreign Exchange Gain</t>
  </si>
  <si>
    <t>7-10004</t>
  </si>
  <si>
    <t>Interest Income</t>
  </si>
  <si>
    <t>7-10005</t>
  </si>
  <si>
    <t>Other Income</t>
  </si>
  <si>
    <t>8-10001</t>
  </si>
  <si>
    <t>Interest Expense</t>
  </si>
  <si>
    <t>8-10002</t>
  </si>
  <si>
    <t>Foreign Exchange Loss</t>
  </si>
  <si>
    <t>8-10003</t>
  </si>
  <si>
    <t>Loss on Disposal of Assets</t>
  </si>
  <si>
    <t>8-10004</t>
  </si>
  <si>
    <t>Other Expense</t>
  </si>
  <si>
    <t>9-10001</t>
  </si>
  <si>
    <t>Income Tax Expense</t>
  </si>
  <si>
    <t>HOW TO USE THIS TEMPLATE — LEGACY COA + NON-SUBLEDGER OPENING BALANCES</t>
  </si>
  <si>
    <t>Client</t>
  </si>
  <si>
    <t>BRW</t>
  </si>
  <si>
    <t>Fiscal year</t>
  </si>
  <si>
    <t>2026</t>
  </si>
  <si>
    <t>Cut-off date</t>
  </si>
  <si>
    <t>31-May-2026</t>
  </si>
  <si>
    <t>No branch</t>
  </si>
  <si>
    <t>Import module</t>
  </si>
  <si>
    <t>Legacy COA + Non-Subledger Opening Balances</t>
  </si>
  <si>
    <t>STEPS</t>
  </si>
  <si>
    <t>1.</t>
  </si>
  <si>
    <t>Every account of this client's chart of accounts is already listed (one row per account). Do not delete rows you do not use — leave their balance at 0.</t>
  </si>
  <si>
    <t>2.</t>
  </si>
  <si>
    <t>Replace Source Account Code and Source Account Name with the code and name from the legacy system. After approval the Source Account Name becomes the account name in ZAFEB.</t>
  </si>
  <si>
    <t>3.</t>
  </si>
  <si>
    <t>Fill Opening Debit OR Opening Credit with the balance on the cut-off date (the other stays 0).</t>
  </si>
  <si>
    <t>4.</t>
  </si>
  <si>
    <t>For an extra legacy account, use an empty row below the list and pick ONE of Suggested ZAFEB Account Code / Account Name / Standard Account Code — the other mapping columns fill in. To change a mapping, clear all four mapping cells of that row first.</t>
  </si>
  <si>
    <t>5.</t>
  </si>
  <si>
    <t>Leave AR, AP, Inventory and Fixed Asset control accounts at 0 — they are imported through their own modules.</t>
  </si>
  <si>
    <t>6.</t>
  </si>
  <si>
    <t>Use sheet "Standard Reference" as a lookup of the client's COA (code, name, classification, standard account code, normal balance, status and subledger control accounts). It is reference only and is not imported.</t>
  </si>
  <si>
    <t>7.</t>
  </si>
  <si>
    <t>Check the CONTROL SUMMARY on the right: Status must be BALANCED (total debit = total credit).</t>
  </si>
  <si>
    <t>8.</t>
  </si>
  <si>
    <t>Save the file as .xlsx (keep the sheet and column names unchanged) and upload it with the Import button on COA &gt; Opening Balance &gt; Import Data.</t>
  </si>
  <si>
    <t>9.</t>
  </si>
  <si>
    <t>Review the validation result: fix every row marked Error in the file and upload it again; rows marked Warning can stay but must be reviewed.</t>
  </si>
  <si>
    <t>10.</t>
  </si>
  <si>
    <t>Submit the batch for approval. Another user with approval rights (Tahap 4+) approves or rejects it — the uploader cannot approve their own batch.</t>
  </si>
  <si>
    <t>COLUMN GUIDE — sheet COA_NON_SUBLEDGER</t>
  </si>
  <si>
    <t>#</t>
  </si>
  <si>
    <t>Column</t>
  </si>
  <si>
    <t>Required</t>
  </si>
  <si>
    <t>Format</t>
  </si>
  <si>
    <t>How to fill / rule</t>
  </si>
  <si>
    <t>Yes</t>
  </si>
  <si>
    <t>Text</t>
  </si>
  <si>
    <t>Account code in the legacy system. Must be unique in the file.</t>
  </si>
  <si>
    <t>Text (max 255)</t>
  </si>
  <si>
    <t>Account name in the legacy system. Becomes the ZAFEB account name after approval (not allowed for accounts locked in Account Mapping).</t>
  </si>
  <si>
    <t>Auto</t>
  </si>
  <si>
    <t>Dropdown</t>
  </si>
  <si>
    <t>Follows the selected ZAFEB account. A different value only gives a warning.</t>
  </si>
  <si>
    <t>ZAFEB account this row maps to. Prefilled for listed accounts; each ZAFEB account can be used once.</t>
  </si>
  <si>
    <t>Linked to the account code.</t>
  </si>
  <si>
    <t>Number &gt;= 0</t>
  </si>
  <si>
    <t>Debit balance on the cut-off date. Enter 0 if none.</t>
  </si>
  <si>
    <t>Credit balance on the cut-off date. Enter 0 if none. Do not fill both debit and credit.</t>
  </si>
  <si>
    <t>Date</t>
  </si>
  <si>
    <t>Must be the cut-off date 31-May-2026 (prefilled).</t>
  </si>
  <si>
    <t>ISO code</t>
  </si>
  <si>
    <t>Must be IDR (prefilled).</t>
  </si>
  <si>
    <t>No</t>
  </si>
  <si>
    <t>Informational. A branch different from this opening balance set gives a warning.</t>
  </si>
  <si>
    <t>Department / Project / Notes</t>
  </si>
  <si>
    <t>Informational; Notes is copied to the opening balance line.</t>
  </si>
  <si>
    <t>Green-shaded cells are filled automatically by formulas — you may overwrite them where the guide says so.</t>
  </si>
  <si>
    <t>ERRORS — the batch cannot be submitted until these are fixed</t>
  </si>
  <si>
    <t>•</t>
  </si>
  <si>
    <t>Source Account Code / Name empty, or the same Source Account Code used twice.</t>
  </si>
  <si>
    <t>Opening Debit / Credit empty, not a number, negative, or both filled.</t>
  </si>
  <si>
    <t>Balance Date empty, invalid or not equal to 31-May-2026; Currency empty or not IDR.</t>
  </si>
  <si>
    <t>ZAFEB account not found, mapping columns pointing to different accounts, or one ZAFEB account used on two rows.</t>
  </si>
  <si>
    <t>A balance on an inactive account, a control account (AR / AP / Inventory / Fixed Asset), Current Year Earnings, or a P&amp;L account when the cut-off is the start of the fiscal year.</t>
  </si>
  <si>
    <t>Renaming an account that is locked in Settings &gt; Account Mapping.</t>
  </si>
  <si>
    <t>Total debit not equal to total credit (checked for the whole batch).</t>
  </si>
  <si>
    <t>WARNINGS — allowed, the reviewer only needs to check them</t>
  </si>
  <si>
    <t>Row without a ZAFEB account (unmapped) — its balance is NOT applied to the opening balance.</t>
  </si>
  <si>
    <t>Source Classification different from the ZAFEB account classification.</t>
  </si>
  <si>
    <t>Branch different from this opening balance set.</t>
  </si>
  <si>
    <t>AFTER APPROVAL</t>
  </si>
  <si>
    <t>Opening balance lines of all NON-control accounts are REPLACED with the balances of this batch (control account balances from AR / AP / Inventory / Fixed Assets are kept).</t>
  </si>
  <si>
    <t>ZAFEB account names are updated from Source Account Name.</t>
  </si>
  <si>
    <t>STANDARD REFERENCE — CHART OF ACCOUNTS · BRW</t>
  </si>
  <si>
    <t>Reference only — this sheet is not imported. It lists all 110 accounts of this client's COA to help you map legacy accounts in sheet COA_NON_SUBLEDGER. Accounts marked as Subledger Control must stay 0 there (their balances are imported through the AR / AP / Inventory / Fixed Asset files); inactive accounts must also stay 0.</t>
  </si>
  <si>
    <t>Account Code</t>
  </si>
  <si>
    <t>Account Name</t>
  </si>
  <si>
    <t>Classification</t>
  </si>
  <si>
    <t>Account Head</t>
  </si>
  <si>
    <t>Account Sub</t>
  </si>
  <si>
    <t>Normal Balance</t>
  </si>
  <si>
    <t>Subledger Control</t>
  </si>
  <si>
    <t>Description</t>
  </si>
  <si>
    <t>ASSET</t>
  </si>
  <si>
    <t>CURRENT ASSET</t>
  </si>
  <si>
    <t>CASH &amp; CASH EQUIVALENTS</t>
  </si>
  <si>
    <t>std_asset_current_cash_on_hand</t>
  </si>
  <si>
    <t>DEBIT</t>
  </si>
  <si>
    <t>Active</t>
  </si>
  <si>
    <t>Cash on hand and cash held at operational cash points, excluding bank balances.</t>
  </si>
  <si>
    <t>std_asset_current_cash_petty</t>
  </si>
  <si>
    <t>Petty cash and cash on hand used for daily operational transactions.</t>
  </si>
  <si>
    <t>std_asset_current_cash_bank</t>
  </si>
  <si>
    <t>Bank account 1 placeholder for client-specific bank and account number setup.</t>
  </si>
  <si>
    <t>Bank account 2 placeholder for client-specific bank and account number setup.</t>
  </si>
  <si>
    <t>Bank account 3 placeholder for client-specific bank and account number setup.</t>
  </si>
  <si>
    <t>Bank account 4 placeholder for client-specific bank and account number setup.</t>
  </si>
  <si>
    <t>std_asset_current_cash_transit</t>
  </si>
  <si>
    <t>Cash or bank funds in transit or temporary clearing pending settlement.</t>
  </si>
  <si>
    <t>std_asset_current_cash_clearing</t>
  </si>
  <si>
    <t>Temporary clearing account for transfers between cash and bank accounts pending settlement.</t>
  </si>
  <si>
    <t>ADVANCES</t>
  </si>
  <si>
    <t>std_asset_current_advance</t>
  </si>
  <si>
    <t>Advances and down payments recoverable through goods, services, or settlement.</t>
  </si>
  <si>
    <t>ALLOWANCE FOR CREDIT LOSSES</t>
  </si>
  <si>
    <t>std_asset_current_receivable_allowance</t>
  </si>
  <si>
    <t>CREDIT</t>
  </si>
  <si>
    <t>Contra-asset allowance for expected credit losses or doubtful receivables.</t>
  </si>
  <si>
    <t>INCOME TAX RECEIVABLE</t>
  </si>
  <si>
    <t>std_asset_current_tax_income_receivable</t>
  </si>
  <si>
    <t>Prepaid or recoverable income taxes, including tax installments and withholding credits.</t>
  </si>
  <si>
    <t>INDIRECT TAX RECEIVABLE</t>
  </si>
  <si>
    <t>std_asset_current_tax_vat_receivable</t>
  </si>
  <si>
    <t>Recoverable input VAT or other indirect tax receivable.</t>
  </si>
  <si>
    <t>INVENTORIES</t>
  </si>
  <si>
    <t>std_asset_current_inventory</t>
  </si>
  <si>
    <t>Inventory</t>
  </si>
  <si>
    <t>Inventories, supplies, raw materials, or goods held for sale or consumption.</t>
  </si>
  <si>
    <t>OTHER CURRENT ASSETS</t>
  </si>
  <si>
    <t>std_asset_current_other</t>
  </si>
  <si>
    <t>Other current assets not separately classified.</t>
  </si>
  <si>
    <t>OTHER RECEIVABLES</t>
  </si>
  <si>
    <t>std_asset_current_receivable_employee</t>
  </si>
  <si>
    <t>Amounts receivable from employees, including employee advances or loans.</t>
  </si>
  <si>
    <t>std_asset_current_receivable_other</t>
  </si>
  <si>
    <t>Other current receivables not classified as trade receivables.</t>
  </si>
  <si>
    <t>PREPAYMENTS</t>
  </si>
  <si>
    <t>std_asset_current_prepayment</t>
  </si>
  <si>
    <t>Costs paid in advance and recognized as assets until consumed.</t>
  </si>
  <si>
    <t>RELATED PARTY RECEIVABLES</t>
  </si>
  <si>
    <t>std_asset_current_receivable_related_party</t>
  </si>
  <si>
    <t>Amounts receivable from shareholders, directors, affiliates, or other related parties.</t>
  </si>
  <si>
    <t>SHORT-TERM FINANCIAL ASSETS</t>
  </si>
  <si>
    <t>std_asset_current_deposit</t>
  </si>
  <si>
    <t>Short-term deposits or highly liquid placements, subject to entity policy on cash-equivalent qualification.</t>
  </si>
  <si>
    <t>TRADE RECEIVABLES</t>
  </si>
  <si>
    <t>std_asset_current_receivable_trade</t>
  </si>
  <si>
    <t>AR</t>
  </si>
  <si>
    <t>Amounts receivable from customers arising from ordinary operating activities.</t>
  </si>
  <si>
    <t>ind_s_receivable_service</t>
  </si>
  <si>
    <t>Receivables from repair, personal, membership, and other service activities.</t>
  </si>
  <si>
    <t>ind_s_inventory_parts</t>
  </si>
  <si>
    <t>Spare parts and consumables used in service activities.</t>
  </si>
  <si>
    <t>NON-CURRENT ASSET</t>
  </si>
  <si>
    <t>ACCUMULATED DEPRECIATION</t>
  </si>
  <si>
    <t>std_asset_noncurrent_ppe_accum_depreciation</t>
  </si>
  <si>
    <t>Fixed Assets</t>
  </si>
  <si>
    <t>Contra-asset accumulated depreciation related to property, plant and equipment.</t>
  </si>
  <si>
    <t>ASSET IMPAIRMENT / ALLOWANCE</t>
  </si>
  <si>
    <t>std_asset_noncurrent_impairment_allowance</t>
  </si>
  <si>
    <t>Contra-asset allowance or provision against operational non-current assets, excluding accumulated depreciation.</t>
  </si>
  <si>
    <t>DEFERRED TAX ASSET</t>
  </si>
  <si>
    <t>std_asset_noncurrent_tax_deferred</t>
  </si>
  <si>
    <t>Deferred tax asset arising from deductible temporary differences, tax losses or credits, subject to recognition criteria.</t>
  </si>
  <si>
    <t>INVESTMENTS</t>
  </si>
  <si>
    <t>std_asset_noncurrent_investment</t>
  </si>
  <si>
    <t>Long-term investments and financial placements not classified as cash equivalents.</t>
  </si>
  <si>
    <t>OTHER NON-CURRENT ASSETS</t>
  </si>
  <si>
    <t>std_asset_noncurrent_security_deposit</t>
  </si>
  <si>
    <t>Refundable deposits and security deposits expected to be recovered beyond the normal operating cycle.</t>
  </si>
  <si>
    <t>PROPERTY, PLANT &amp; EQUIPMENT</t>
  </si>
  <si>
    <t>std_asset_noncurrent_ppe_building</t>
  </si>
  <si>
    <t>Buildings and building improvements used in operations.</t>
  </si>
  <si>
    <t>std_asset_noncurrent_ppe_cip</t>
  </si>
  <si>
    <t>Construction in progress or assets under construction.</t>
  </si>
  <si>
    <t>std_asset_noncurrent_ppe_equipment</t>
  </si>
  <si>
    <t>Machinery, office equipment, kitchen equipment, furniture, fixtures, and other operational equipment.</t>
  </si>
  <si>
    <t>std_asset_noncurrent_ppe_land</t>
  </si>
  <si>
    <t>Land held for operational use.</t>
  </si>
  <si>
    <t>std_asset_noncurrent_ppe_vehicle</t>
  </si>
  <si>
    <t>Vehicles used in operations.</t>
  </si>
  <si>
    <t>LIABILITY</t>
  </si>
  <si>
    <t>CURRENT LIABILITY</t>
  </si>
  <si>
    <t>ACCRUED EXPENSES</t>
  </si>
  <si>
    <t>std_liability_current_accrued_employee</t>
  </si>
  <si>
    <t>Accrued payroll, salaries, bonuses, social security, and employee-related expenses.</t>
  </si>
  <si>
    <t>std_liability_current_accrued_expense</t>
  </si>
  <si>
    <t>Expenses incurred but not yet invoiced or paid.</t>
  </si>
  <si>
    <t>BORROWINGS</t>
  </si>
  <si>
    <t>std_liability_current_borrowing</t>
  </si>
  <si>
    <t>Short-term loans, overdrafts, and current portions of borrowings.</t>
  </si>
  <si>
    <t>CONTRACT / DEFERRED REVENUE</t>
  </si>
  <si>
    <t>std_liability_current_deferred_revenue</t>
  </si>
  <si>
    <t>Customer deposits, advances, or revenue received before the related performance obligation is satisfied.</t>
  </si>
  <si>
    <t>OTHER CURRENT LIABILITIES</t>
  </si>
  <si>
    <t>std_liability_current_other</t>
  </si>
  <si>
    <t>Other current liabilities not separately classified.</t>
  </si>
  <si>
    <t>OTHER PAYABLES</t>
  </si>
  <si>
    <t>std_liability_current_payable_other</t>
  </si>
  <si>
    <t>Other short-term payables and unsettled liabilities.</t>
  </si>
  <si>
    <t>RELATED PARTY PAYABLES</t>
  </si>
  <si>
    <t>std_liability_current_payable_related_party</t>
  </si>
  <si>
    <t>Amounts payable to shareholders, directors, affiliates, or other related parties.</t>
  </si>
  <si>
    <t>TAX PAYABLES</t>
  </si>
  <si>
    <t>std_liability_current_tax_income_payable</t>
  </si>
  <si>
    <t>Income tax withholding, installments, or corporate income tax payable.</t>
  </si>
  <si>
    <t>std_liability_current_tax_other_payable</t>
  </si>
  <si>
    <t>Other taxes and local levies payable, including sales/service taxes where applicable.</t>
  </si>
  <si>
    <t>std_liability_current_tax_vat_payable</t>
  </si>
  <si>
    <t>Output VAT or other indirect taxes payable.</t>
  </si>
  <si>
    <t>TRADE PAYABLES</t>
  </si>
  <si>
    <t>std_liability_current_payable_trade</t>
  </si>
  <si>
    <t>AP</t>
  </si>
  <si>
    <t>Amounts payable to suppliers for goods and services received in the ordinary course of business.</t>
  </si>
  <si>
    <t>NON-CURRENT LIABILITY</t>
  </si>
  <si>
    <t>std_liability_noncurrent_borrowing</t>
  </si>
  <si>
    <t>Long-term bank loans and other non-current borrowings.</t>
  </si>
  <si>
    <t>DEFERRED TAX LIABILITY</t>
  </si>
  <si>
    <t>std_liability_noncurrent_tax_deferred</t>
  </si>
  <si>
    <t>Deferred tax liability arising from taxable temporary differences.</t>
  </si>
  <si>
    <t>EMPLOYEE BENEFIT OBLIGATIONS</t>
  </si>
  <si>
    <t>std_liability_noncurrent_employee_benefit</t>
  </si>
  <si>
    <t>Long-term employee benefit or post-employment benefit obligations.</t>
  </si>
  <si>
    <t>LEASE LIABILITIES</t>
  </si>
  <si>
    <t>std_liability_noncurrent_lease</t>
  </si>
  <si>
    <t>Lease obligations recognized for right-of-use arrangements; split current/non-current when applicable.</t>
  </si>
  <si>
    <t>RELATED PARTY BORROWINGS</t>
  </si>
  <si>
    <t>std_liability_noncurrent_borrowing_related_party</t>
  </si>
  <si>
    <t>Borrowings from shareholders or related parties, generally non-current unless contractually due within twelve months.</t>
  </si>
  <si>
    <t>EQUITY</t>
  </si>
  <si>
    <t>ADDITIONAL PAID-IN CAPITAL</t>
  </si>
  <si>
    <t>std_equity_additional_paid_in_capital</t>
  </si>
  <si>
    <t>Additional paid-in capital, share premium, or similar contributed equity.</t>
  </si>
  <si>
    <t>CURRENT PERIOD EARNINGS</t>
  </si>
  <si>
    <t>std_equity_current_period_earnings</t>
  </si>
  <si>
    <t>Current period profit or loss carried within equity before closing.</t>
  </si>
  <si>
    <t>OTHER COMPREHENSIVE INCOME</t>
  </si>
  <si>
    <t>std_equity_oci</t>
  </si>
  <si>
    <t>Accumulated or current other comprehensive income items recognized in equity.</t>
  </si>
  <si>
    <t>OTHER EQUITY</t>
  </si>
  <si>
    <t>std_equity_other</t>
  </si>
  <si>
    <t>Other equity balances not separately classified.</t>
  </si>
  <si>
    <t>OWNER DRAWINGS</t>
  </si>
  <si>
    <t>std_equity_owner_drawing</t>
  </si>
  <si>
    <t>Owner drawings or distributions recorded directly in equity.</t>
  </si>
  <si>
    <t>RETAINED EARNINGS</t>
  </si>
  <si>
    <t>std_equity_retained_earnings</t>
  </si>
  <si>
    <t>Accumulated retained earnings or accumulated losses from prior periods.</t>
  </si>
  <si>
    <t>SHARE CAPITAL</t>
  </si>
  <si>
    <t>std_equity_share_capital</t>
  </si>
  <si>
    <t>Issued and paid-in share capital or owners' capital.</t>
  </si>
  <si>
    <t>REVENUE</t>
  </si>
  <si>
    <t>OPERATING REVENUE</t>
  </si>
  <si>
    <t>SALES REVENUE</t>
  </si>
  <si>
    <t>std_revenue_operating_sales</t>
  </si>
  <si>
    <t>Revenue from sale of goods in the ordinary course of business.</t>
  </si>
  <si>
    <t>SERVICE REVENUE</t>
  </si>
  <si>
    <t>std_revenue_operating_service</t>
  </si>
  <si>
    <t>Revenue from rendering services in the ordinary course of business.</t>
  </si>
  <si>
    <t>ind_s_revenue_repair</t>
  </si>
  <si>
    <t>Revenue from repair and maintenance services.</t>
  </si>
  <si>
    <t>ind_s_revenue_other_services</t>
  </si>
  <si>
    <t>Revenue from personal care, membership, association, and other services.</t>
  </si>
  <si>
    <t>UNBILLED REVENUE</t>
  </si>
  <si>
    <t>std_revenue_operating_unbilled</t>
  </si>
  <si>
    <t>Revenue recognized before billing to the customer, subject to contract/accounting policy.</t>
  </si>
  <si>
    <t>OTHER OPERATING REVENUE</t>
  </si>
  <si>
    <t>std_revenue_operating_other</t>
  </si>
  <si>
    <t>Other revenue generated from ordinary operating activities.</t>
  </si>
  <si>
    <t>SALES DEDUCTIONS</t>
  </si>
  <si>
    <t>std_revenue_operating_discount</t>
  </si>
  <si>
    <t>Sales discounts or rebates presented as a reduction of revenue.</t>
  </si>
  <si>
    <t>std_revenue_operating_return</t>
  </si>
  <si>
    <t>Sales returns and allowances presented as a reduction of revenue.</t>
  </si>
  <si>
    <t>COST OF SALES</t>
  </si>
  <si>
    <t>COST OF REVENUE</t>
  </si>
  <si>
    <t>PURCHASES / MERCHANDISE COST</t>
  </si>
  <si>
    <t>std_cost_of_sales_purchase</t>
  </si>
  <si>
    <t>Purchases and merchandise costs directly attributable to goods sold.</t>
  </si>
  <si>
    <t>PRODUCTION COST</t>
  </si>
  <si>
    <t>std_cost_of_sales_production</t>
  </si>
  <si>
    <t>Other direct production or service-delivery costs attributable to revenue.</t>
  </si>
  <si>
    <t>FREIGHT / DELIVERY COST</t>
  </si>
  <si>
    <t>std_cost_of_sales_freight</t>
  </si>
  <si>
    <t>Freight, delivery, and handling costs directly attributable to goods or services sold.</t>
  </si>
  <si>
    <t>DIRECT SERVICE COST</t>
  </si>
  <si>
    <t>ind_s_cost_service_parts</t>
  </si>
  <si>
    <t>Parts, consumables, and direct service delivery costs.</t>
  </si>
  <si>
    <t>OTHER COST OF SALES</t>
  </si>
  <si>
    <t>std_cost_of_sales_other</t>
  </si>
  <si>
    <t>Other direct costs attributable to generating revenue.</t>
  </si>
  <si>
    <t>PURCHASE DISCOUNT</t>
  </si>
  <si>
    <t>std_cost_of_sales_purchase_discount</t>
  </si>
  <si>
    <t>Purchase discounts reducing cost of sales or inventory cost, depending on accounting policy.</t>
  </si>
  <si>
    <t>PURCHASE RETURN</t>
  </si>
  <si>
    <t>std_cost_of_sales_purchase_return</t>
  </si>
  <si>
    <t>Purchase returns reducing cost of sales or inventory cost, depending on accounting policy.</t>
  </si>
  <si>
    <t>EXPENSE</t>
  </si>
  <si>
    <t>OPERATING EXPENSE</t>
  </si>
  <si>
    <t>AMORTISATION</t>
  </si>
  <si>
    <t>std_expense_operating_amortisation</t>
  </si>
  <si>
    <t>Amortisation expense for intangible assets, leasehold rights, or deferred costs where applicable.</t>
  </si>
  <si>
    <t>BANK &amp; PAYMENT CHARGES</t>
  </si>
  <si>
    <t>std_expense_operating_bank_payment_charges</t>
  </si>
  <si>
    <t>Bank administration, merchant discount rate, card charges, transfer charges, and payment processing fees.</t>
  </si>
  <si>
    <t>BONUS &amp; OVERTIME</t>
  </si>
  <si>
    <t>std_expense_operating_bonus_overtime</t>
  </si>
  <si>
    <t>Bonuses, overtime, incentives, and holiday allowances.</t>
  </si>
  <si>
    <t>CLEANING &amp; SECURITY</t>
  </si>
  <si>
    <t>std_expense_operating_cleaning_security</t>
  </si>
  <si>
    <t>Cleaning, security, waste removal, and related facility-support costs.</t>
  </si>
  <si>
    <t>COMMUNICATION &amp; INTERNET</t>
  </si>
  <si>
    <t>std_expense_operating_communication</t>
  </si>
  <si>
    <t>Telephone, internet, communication, and connectivity costs.</t>
  </si>
  <si>
    <t>CREDIT LOSS / BAD DEBT</t>
  </si>
  <si>
    <t>std_expense_operating_credit_loss</t>
  </si>
  <si>
    <t>Bad debt or expected credit loss expense on receivables.</t>
  </si>
  <si>
    <t>DEPRECIATION</t>
  </si>
  <si>
    <t>std_expense_operating_depreciation</t>
  </si>
  <si>
    <t>Depreciation expense for property, plant and equipment.</t>
  </si>
  <si>
    <t>DONATION &amp; COMMUNITY</t>
  </si>
  <si>
    <t>std_expense_operating_donation</t>
  </si>
  <si>
    <t>Donations and community-related expenditure.</t>
  </si>
  <si>
    <t>EMPLOYEE BENEFITS</t>
  </si>
  <si>
    <t>std_expense_operating_employee_benefits</t>
  </si>
  <si>
    <t>Employee benefits, allowances, social security, health, and welfare costs.</t>
  </si>
  <si>
    <t>FREIGHT &amp; COURIER</t>
  </si>
  <si>
    <t>std_expense_operating_freight_courier</t>
  </si>
  <si>
    <t>Courier, expedition, shipping, and delivery costs not classified as cost of sales.</t>
  </si>
  <si>
    <t>INSURANCE</t>
  </si>
  <si>
    <t>std_expense_operating_insurance</t>
  </si>
  <si>
    <t>Insurance premiums and related insurance expense.</t>
  </si>
  <si>
    <t>LAUNDRY &amp; LINEN</t>
  </si>
  <si>
    <t>std_expense_operating_laundry_linen</t>
  </si>
  <si>
    <t>Laundry, linen, and related hospitality operating costs.</t>
  </si>
  <si>
    <t>MARKETING &amp; PROMOTION</t>
  </si>
  <si>
    <t>std_expense_operating_marketing</t>
  </si>
  <si>
    <t>Advertising, promotion, marketing, sales commission, and partnership costs.</t>
  </si>
  <si>
    <t>MEALS &amp; ENTERTAINMENT</t>
  </si>
  <si>
    <t>std_expense_operating_meals_entertainment</t>
  </si>
  <si>
    <t>Meals, entertainment, hospitality, and employee refreshments.</t>
  </si>
  <si>
    <t>OFFICE &amp; ADMINISTRATION</t>
  </si>
  <si>
    <t>std_expense_operating_office_admin</t>
  </si>
  <si>
    <t>Office supplies, stationery, printing, administration, and general office costs.</t>
  </si>
  <si>
    <t>OPERATING SUPPLIES</t>
  </si>
  <si>
    <t>std_expense_operating_supplies</t>
  </si>
  <si>
    <t>Kitchen, bar, guest, cleaning, packaging, and other consumable operating supplies.</t>
  </si>
  <si>
    <t>OTHER OPERATING EXPENSE</t>
  </si>
  <si>
    <t>std_expense_operating_other</t>
  </si>
  <si>
    <t>Other operating expense not separately classified.</t>
  </si>
  <si>
    <t>PENALTIES &amp; FINES</t>
  </si>
  <si>
    <t>std_expense_operating_penalty</t>
  </si>
  <si>
    <t>Penalties, fines, and similar non-routine operating charges.</t>
  </si>
  <si>
    <t>PRE-OPERATING EXPENSE</t>
  </si>
  <si>
    <t>std_expense_operating_preoperating</t>
  </si>
  <si>
    <t>Pre-opening or pre-operational costs expensed as incurred unless capitalization criteria are met.</t>
  </si>
  <si>
    <t>PROFESSIONAL FEES</t>
  </si>
  <si>
    <t>std_expense_operating_professional_fees</t>
  </si>
  <si>
    <t>Legal, audit, accounting, consulting, and other professional service fees.</t>
  </si>
  <si>
    <t>RENT EXPENSE</t>
  </si>
  <si>
    <t>std_expense_operating_rent</t>
  </si>
  <si>
    <t>Rent and operating lease expenses not capitalized under applicable accounting requirements.</t>
  </si>
  <si>
    <t>REPAIR &amp; MAINTENANCE</t>
  </si>
  <si>
    <t>std_expense_operating_repair_maintenance</t>
  </si>
  <si>
    <t>Repair, maintenance, and upkeep of buildings, vehicles, equipment, and facilities.</t>
  </si>
  <si>
    <t>RESEARCH &amp; DEVELOPMENT</t>
  </si>
  <si>
    <t>std_expense_operating_research_development</t>
  </si>
  <si>
    <t>Research and development expenditure recognized as expense when capitalization criteria are not met.</t>
  </si>
  <si>
    <t>SALARIES &amp; WAGES</t>
  </si>
  <si>
    <t>std_expense_operating_salary_wages</t>
  </si>
  <si>
    <t>Salaries, wages, payroll, and regular employee compensation.</t>
  </si>
  <si>
    <t>SEVERANCE / POST-EMPLOYMENT COST</t>
  </si>
  <si>
    <t>std_expense_operating_severance</t>
  </si>
  <si>
    <t>Severance and employee benefit expense related to termination or post-employment obligations.</t>
  </si>
  <si>
    <t>TAXES &amp; LICENSES</t>
  </si>
  <si>
    <t>std_expense_operating_tax_license</t>
  </si>
  <si>
    <t>Non-income taxes, licenses, permits, and levies expensed in operations.</t>
  </si>
  <si>
    <t>TRAINING &amp; DEVELOPMENT</t>
  </si>
  <si>
    <t>std_expense_operating_training</t>
  </si>
  <si>
    <t>Training, seminars, education, and employee development costs.</t>
  </si>
  <si>
    <t>TRANSPORT &amp; TRAVEL</t>
  </si>
  <si>
    <t>std_expense_operating_transport_travel</t>
  </si>
  <si>
    <t>Fuel, toll, parking, transportation, vehicle operating costs, and business travel.</t>
  </si>
  <si>
    <t>UTILITIES</t>
  </si>
  <si>
    <t>std_expense_operating_utilities</t>
  </si>
  <si>
    <t>Electricity, water, gas, power, and other utility costs.</t>
  </si>
  <si>
    <t>OTHER / NON-OPERATING EXPENSE</t>
  </si>
  <si>
    <t>OWNER / PERSONAL EXPENSE</t>
  </si>
  <si>
    <t>std_expense_other_owner_personal</t>
  </si>
  <si>
    <t>Personal or owner-related expenditure requiring review for accounting and tax treatment.</t>
  </si>
  <si>
    <t>OTHER INCOME</t>
  </si>
  <si>
    <t>NON-OPERATING INCOME</t>
  </si>
  <si>
    <t>COMMISSION / OTHER INVESTMENT INCOME</t>
  </si>
  <si>
    <t>std_other_income_commission</t>
  </si>
  <si>
    <t>Commission or similar income presented outside primary operating revenue based on the source COA presentation.</t>
  </si>
  <si>
    <t>DIVIDEND INCOME</t>
  </si>
  <si>
    <t>std_other_income_dividend</t>
  </si>
  <si>
    <t>Dividend income from investments, subject to the entity's accounting presentation and measurement requirements.</t>
  </si>
  <si>
    <t>FOREIGN EXCHANGE GAIN</t>
  </si>
  <si>
    <t>std_other_income_fx_gain</t>
  </si>
  <si>
    <t>Realized or unrealized foreign exchange gains.</t>
  </si>
  <si>
    <t>INTEREST INCOME</t>
  </si>
  <si>
    <t>std_other_income_interest</t>
  </si>
  <si>
    <t>Interest income from bank balances, deposits, and other financial assets.</t>
  </si>
  <si>
    <t>std_other_income_misc</t>
  </si>
  <si>
    <t>Other income not arising from principal operating activities.</t>
  </si>
  <si>
    <t>OTHER EXPENSE</t>
  </si>
  <si>
    <t>FINANCE COST</t>
  </si>
  <si>
    <t>INTEREST EXPENSE</t>
  </si>
  <si>
    <t>std_other_expense_interest</t>
  </si>
  <si>
    <t>Interest and borrowing costs recognized in profit or loss.</t>
  </si>
  <si>
    <t>NON-OPERATING EXPENSE</t>
  </si>
  <si>
    <t>FOREIGN EXCHANGE LOSS</t>
  </si>
  <si>
    <t>std_other_expense_fx_loss</t>
  </si>
  <si>
    <t>Realized or unrealized foreign exchange losses.</t>
  </si>
  <si>
    <t>LOSS ON DISPOSAL</t>
  </si>
  <si>
    <t>std_other_expense_loss_disposal</t>
  </si>
  <si>
    <t>Loss on disposal or write-off of property, plant and equipment or other assets.</t>
  </si>
  <si>
    <t>std_other_expense_misc</t>
  </si>
  <si>
    <t>Other non-operating expense not separately classified.</t>
  </si>
  <si>
    <t>INCOME TAX</t>
  </si>
  <si>
    <t>INCOME TAX EXPENSE</t>
  </si>
  <si>
    <t>std_income_tax_expense</t>
  </si>
  <si>
    <t>Current and deferred income tax expense recognized in profit or loss.</t>
  </si>
  <si>
    <t>Classifications</t>
  </si>
  <si>
    <t>Bank BPD Jogja</t>
  </si>
  <si>
    <t>Bank Permata 8993</t>
  </si>
  <si>
    <t>Money In Transit (MIT)</t>
  </si>
  <si>
    <t>Time Deposit - PMT</t>
  </si>
  <si>
    <t>Piutang - ASF</t>
  </si>
  <si>
    <t>Piutang - CSDI</t>
  </si>
  <si>
    <t>Piutang - PSS</t>
  </si>
  <si>
    <t>Piutang - KAF</t>
  </si>
  <si>
    <t>Piutang - AAF</t>
  </si>
  <si>
    <t>Piutang - FIF</t>
  </si>
  <si>
    <t>Piutang - SERA</t>
  </si>
  <si>
    <t>Piutang - SBSF</t>
  </si>
  <si>
    <t>Piutang - Lain-lain</t>
  </si>
  <si>
    <t>Persediaan</t>
  </si>
  <si>
    <t>Investasi</t>
  </si>
  <si>
    <t>Uang muka</t>
  </si>
  <si>
    <t>Piutang - AAD</t>
  </si>
  <si>
    <t>Pajak dibayar dimuka Pph 23</t>
  </si>
  <si>
    <t>Pajak dibayar dimuka Pph 25</t>
  </si>
  <si>
    <t>Pajak dibayar dimuka PPN</t>
  </si>
  <si>
    <t>Prepaid Expenses</t>
  </si>
  <si>
    <t>Aktiva tetap</t>
  </si>
  <si>
    <t>Akumulasi Aktiva tetap</t>
  </si>
  <si>
    <t>Aset pajak tangguhan</t>
  </si>
  <si>
    <t>Pinjaman - Koperasi</t>
  </si>
  <si>
    <t>Pinjaman - Bank</t>
  </si>
  <si>
    <t>Hutang usaha</t>
  </si>
  <si>
    <t>Titipan BPJS - Tenaga Kerja</t>
  </si>
  <si>
    <t>Titipan BPJS - Kesehatan</t>
  </si>
  <si>
    <t>Titipan Lain-lain</t>
  </si>
  <si>
    <t>Akrual biaya bunga pinjaman</t>
  </si>
  <si>
    <t>Akrual biaya operasional</t>
  </si>
  <si>
    <t>Akrual biaya THR/Gaji</t>
  </si>
  <si>
    <t>Hutang Pajak - Pph 21</t>
  </si>
  <si>
    <t>Hutang Pajak - Pph 23</t>
  </si>
  <si>
    <t>Hutang Pajak - Pph 25</t>
  </si>
  <si>
    <t>Hutang Pajak - Pph 26</t>
  </si>
  <si>
    <t>Estimasi Hutang  Pph 29</t>
  </si>
  <si>
    <t>Hutang Pajak - Pph 29</t>
  </si>
  <si>
    <t>Hutang Pajak - PPN</t>
  </si>
  <si>
    <t>Pendapatan ditangguhkan</t>
  </si>
  <si>
    <t>Hutang pajak tangguhan</t>
  </si>
  <si>
    <t>Setoran modal</t>
  </si>
  <si>
    <t>Laba Ditahan</t>
  </si>
  <si>
    <t>Laba Tahun Berjalan</t>
  </si>
  <si>
    <t>Laba usaha - cadangan</t>
  </si>
  <si>
    <t>Laba usaha - belum dicadangkan</t>
  </si>
  <si>
    <t>Deviden</t>
  </si>
  <si>
    <t>Pendapatan Jasa - ASF</t>
  </si>
  <si>
    <t>Pendapatan Jasa - CSDI</t>
  </si>
  <si>
    <t>Pendapatan Jasa - PSS</t>
  </si>
  <si>
    <t>Pendapatan Jasa - KAF</t>
  </si>
  <si>
    <t>Pendapatan Jasa - AAF</t>
  </si>
  <si>
    <t>Pendapatan Jasa - FIF</t>
  </si>
  <si>
    <t>Pendapatan Jasa - SERA</t>
  </si>
  <si>
    <t>Pendapatan Jasa - SBSF</t>
  </si>
  <si>
    <t xml:space="preserve">Jasa Giro </t>
  </si>
  <si>
    <t>Bunga Deposito - PMT</t>
  </si>
  <si>
    <t>Pengembalian biaya Outsourching</t>
  </si>
  <si>
    <t>Pendapatan lain-lain</t>
  </si>
  <si>
    <t>Pendapatan Jasa - AAD</t>
  </si>
  <si>
    <t>Biaya bunga pinjaman - Koperasi</t>
  </si>
  <si>
    <t>Biaya bunga pinjaman - Bank</t>
  </si>
  <si>
    <t>Biaya Gaji Karyawan</t>
  </si>
  <si>
    <t>BPJS - Kesehatan</t>
  </si>
  <si>
    <t>BPJS - Tenaga Kerja</t>
  </si>
  <si>
    <t>Biaya kesejahteraan karyawan</t>
  </si>
  <si>
    <t>Biaya transportasi,BBM, Parkir</t>
  </si>
  <si>
    <t>Biaya ATK dan keperluan kantor</t>
  </si>
  <si>
    <t>Biaya pemberian hadiah</t>
  </si>
  <si>
    <t>Biaya Transportasi/SPD</t>
  </si>
  <si>
    <t>Biaya Training</t>
  </si>
  <si>
    <t>Biaya Promosi</t>
  </si>
  <si>
    <t>Biaya pencarian Karyawan</t>
  </si>
  <si>
    <t>Biaya penggantian &amp; perawatan</t>
  </si>
  <si>
    <t>Biaya Listrik</t>
  </si>
  <si>
    <t>Biaya percetakan dan bahan-bahan</t>
  </si>
  <si>
    <t xml:space="preserve">Biaya Depresiasi </t>
  </si>
  <si>
    <t>Biaya Pengiriman dan Telepon</t>
  </si>
  <si>
    <t>Biaya lain-lain</t>
  </si>
  <si>
    <t>Biaya Donasi</t>
  </si>
  <si>
    <t>Biaya atas Fee/Professional Fee</t>
  </si>
  <si>
    <t>Biaya Pajak &amp; Perizinan</t>
  </si>
  <si>
    <t>Biaya Sewa</t>
  </si>
  <si>
    <t>Biaya Bank</t>
  </si>
  <si>
    <t>Biaya Asuransi</t>
  </si>
  <si>
    <t>Biaya keamanan</t>
  </si>
  <si>
    <t>Beban Pajak Penghasilan</t>
  </si>
  <si>
    <t>Beban Pajak Penghasilan - Final</t>
  </si>
  <si>
    <t>Beban biaya pajak tangguhan</t>
  </si>
  <si>
    <t>2-10017</t>
  </si>
  <si>
    <t>2-10018</t>
  </si>
  <si>
    <t>4-10009</t>
  </si>
  <si>
    <t>4-10010</t>
  </si>
  <si>
    <t>4-10011</t>
  </si>
  <si>
    <t>4-10012</t>
  </si>
  <si>
    <t>4-10013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</si>
</sst>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11">
    <font>
      <sz val="11"/>
      <color theme="1"/>
      <name val="Calibri"/>
      <family val="2"/>
      <scheme val="minor"/>
    </font>
    <font>
      <b/>
      <sz val="14"/>
      <color rgb="FFFFFFFF"/>
      <name val="Carlito"/>
    </font>
    <font>
      <sz val="11"/>
      <color rgb="FF475569"/>
      <name val="Carlito"/>
    </font>
    <font>
      <b/>
      <sz val="11"/>
      <color rgb="FFFFFFFF"/>
      <name val="Carlito"/>
    </font>
    <font>
      <sz val="11"/>
      <name val="Carlito"/>
    </font>
    <font>
      <b/>
      <sz val="11"/>
      <color rgb="FF134E4A"/>
      <name val="Carlito"/>
    </font>
    <font>
      <sz val="11"/>
      <color rgb="FF008000"/>
      <name val="Carlito"/>
    </font>
    <font>
      <b/>
      <sz val="11"/>
      <name val="Carlito"/>
    </font>
    <font>
      <b/>
      <sz val="11"/>
      <color rgb="FFB91C1C"/>
      <name val="Carlito"/>
    </font>
    <font>
      <i/>
      <sz val="10"/>
      <color rgb="FF475569"/>
      <name val="Carlito"/>
    </font>
    <font>
      <sz val="8"/>
      <name val="Calibri"/>
      <family val="2"/>
      <scheme val="minor"/>
    </font>
  </fonts>
  <fills count="9">
    <fill>
      <patternFill patternType="none"/>
    </fill>
    <fill>
      <patternFill patternType="gray125"/>
    </fill>
    <fill>
      <patternFill patternType="solid">
        <fgColor rgb="FF0F766E"/>
      </patternFill>
    </fill>
    <fill>
      <patternFill patternType="solid">
        <fgColor rgb="FFF8FBFB"/>
      </patternFill>
    </fill>
    <fill>
      <patternFill patternType="solid">
        <fgColor rgb="FF134E4A"/>
      </patternFill>
    </fill>
    <fill>
      <patternFill patternType="solid">
        <fgColor rgb="FFECFDF5"/>
      </patternFill>
    </fill>
    <fill>
      <patternFill patternType="solid">
        <fgColor rgb="FFDFF3EE"/>
      </patternFill>
    </fill>
    <fill>
      <patternFill patternType="solid">
        <fgColor rgb="FFFDECEC"/>
      </patternFill>
    </fill>
    <fill>
      <patternFill patternType="solid">
        <fgColor rgb="FFFFF7E6"/>
      </patternFill>
    </fill>
  </fills>
  <borders count="1">
    <border>
      <left/>
      <right/>
      <top/>
      <bottom/>
      <diagonal/>
    </border>
  </borders>
  <cellStyleXfs count="1">
    <xf numFmtId="0" fontId="0" fillId="0" borderId="0"/>
  </cellStyleXfs>
  <cellXfs count="31">
    <xf numFmtId="0" fontId="0" fillId="0" borderId="0" xfId="0"/>
    <xf numFmtId="0" fontId="3" fillId="4" borderId="0" xfId="0" applyFont="1" applyFill="1" applyAlignment="1">
      <alignment horizontal="center" vertical="center" wrapText="1"/>
    </xf>
    <xf numFmtId="0" fontId="3" fillId="4" borderId="0" xfId="0" applyFont="1" applyFill="1"/>
    <xf numFmtId="0" fontId="0" fillId="4" borderId="0" xfId="0" applyFill="1"/>
    <xf numFmtId="0" fontId="4" fillId="0" borderId="0" xfId="0" applyFont="1" applyAlignment="1">
      <alignment vertical="top" wrapText="1"/>
    </xf>
    <xf numFmtId="0" fontId="4" fillId="5" borderId="0" xfId="0" applyFont="1" applyFill="1" applyAlignment="1">
      <alignment vertical="top" wrapText="1"/>
    </xf>
    <xf numFmtId="38" fontId="4" fillId="0" borderId="0" xfId="0" applyNumberFormat="1" applyFont="1" applyAlignment="1">
      <alignment vertical="top" wrapText="1"/>
    </xf>
    <xf numFmtId="164" fontId="4" fillId="0" borderId="0" xfId="0" applyNumberFormat="1" applyFont="1" applyAlignment="1">
      <alignment vertical="top" wrapText="1"/>
    </xf>
    <xf numFmtId="0" fontId="5" fillId="6" borderId="0" xfId="0" applyFont="1" applyFill="1"/>
    <xf numFmtId="38" fontId="6" fillId="0" borderId="0" xfId="0" applyNumberFormat="1" applyFont="1"/>
    <xf numFmtId="0" fontId="6" fillId="0" borderId="0" xfId="0" applyFont="1"/>
    <xf numFmtId="0" fontId="4" fillId="0" borderId="0" xfId="0" applyFont="1"/>
    <xf numFmtId="0" fontId="7" fillId="0" borderId="0" xfId="0" applyFont="1"/>
    <xf numFmtId="0" fontId="4" fillId="0" borderId="0" xfId="0" applyFont="1" applyAlignment="1">
      <alignment horizontal="right" vertical="top"/>
    </xf>
    <xf numFmtId="0" fontId="3" fillId="4" borderId="0" xfId="0" applyFont="1" applyFill="1" applyAlignment="1">
      <alignment horizontal="center" vertical="center"/>
    </xf>
    <xf numFmtId="0" fontId="8" fillId="0" borderId="0" xfId="0" applyFont="1" applyAlignment="1">
      <alignment vertical="top" wrapText="1"/>
    </xf>
    <xf numFmtId="0" fontId="4" fillId="8" borderId="0" xfId="0" applyFont="1" applyFill="1"/>
    <xf numFmtId="38" fontId="0" fillId="0" borderId="0" xfId="0" applyNumberFormat="1"/>
    <xf numFmtId="0" fontId="2" fillId="3" borderId="0" xfId="0" applyFont="1" applyFill="1" applyAlignment="1">
      <alignment vertical="top" wrapText="1"/>
    </xf>
    <xf numFmtId="0" fontId="0" fillId="0" borderId="0" xfId="0"/>
    <xf numFmtId="0" fontId="1" fillId="2" borderId="0" xfId="0" applyFont="1" applyFill="1" applyAlignment="1">
      <alignment horizontal="left" vertical="center"/>
    </xf>
    <xf numFmtId="0" fontId="4" fillId="0" borderId="0" xfId="0" applyFont="1" applyAlignment="1">
      <alignment vertical="top" wrapText="1"/>
    </xf>
    <xf numFmtId="0" fontId="4" fillId="8" borderId="0" xfId="0" applyFont="1" applyFill="1" applyAlignment="1">
      <alignment vertical="top" wrapText="1"/>
    </xf>
    <xf numFmtId="0" fontId="0" fillId="8" borderId="0" xfId="0" applyFill="1"/>
    <xf numFmtId="0" fontId="4" fillId="7" borderId="0" xfId="0" applyFont="1" applyFill="1" applyAlignment="1">
      <alignment vertical="top" wrapText="1"/>
    </xf>
    <xf numFmtId="0" fontId="0" fillId="7" borderId="0" xfId="0" applyFill="1"/>
    <xf numFmtId="0" fontId="5" fillId="6" borderId="0" xfId="0" applyFont="1" applyFill="1" applyAlignment="1">
      <alignment vertical="top" wrapText="1"/>
    </xf>
    <xf numFmtId="0" fontId="0" fillId="6" borderId="0" xfId="0" applyFill="1"/>
    <xf numFmtId="0" fontId="9" fillId="0" borderId="0" xfId="0" applyFont="1" applyAlignment="1">
      <alignment vertical="top" wrapText="1"/>
    </xf>
    <xf numFmtId="0" fontId="1" fillId="2" borderId="0" xfId="0" applyFont="1" applyFill="1" applyAlignment="1">
      <alignment vertical="top" wrapText="1"/>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Q106"/>
  <sheetViews>
    <sheetView tabSelected="1" workbookViewId="0">
      <pane ySplit="4" topLeftCell="A65" activePane="bottomLeft" state="frozen"/>
      <selection pane="bottomLeft" activeCell="E65" sqref="E65"/>
    </sheetView>
  </sheetViews>
  <sheetFormatPr defaultRowHeight="15"/>
  <cols>
    <col min="1" max="1" width="18" customWidth="1"/>
    <col min="2" max="2" width="28" customWidth="1"/>
    <col min="3" max="3" width="22" customWidth="1"/>
    <col min="4" max="4" width="26" customWidth="1"/>
    <col min="5" max="5" width="32" customWidth="1"/>
    <col min="6" max="6" width="38" customWidth="1"/>
    <col min="7" max="8" width="16" customWidth="1"/>
    <col min="9" max="9" width="14" customWidth="1"/>
    <col min="10" max="10" width="10" customWidth="1"/>
    <col min="11" max="11" width="14" customWidth="1"/>
    <col min="12" max="12" width="18" customWidth="1"/>
    <col min="13" max="13" width="15" customWidth="1"/>
    <col min="14" max="14" width="32" customWidth="1"/>
    <col min="15" max="15" width="4" customWidth="1"/>
    <col min="16" max="16" width="23" customWidth="1"/>
    <col min="17" max="17" width="18" customWidth="1"/>
  </cols>
  <sheetData>
    <row r="1" spans="1:17" ht="24" customHeight="1">
      <c r="A1" s="20" t="s">
        <v>0</v>
      </c>
      <c r="B1" s="19"/>
      <c r="C1" s="19"/>
      <c r="D1" s="19"/>
      <c r="E1" s="19"/>
      <c r="F1" s="19"/>
      <c r="G1" s="19"/>
      <c r="H1" s="19"/>
      <c r="I1" s="19"/>
      <c r="J1" s="19"/>
      <c r="K1" s="19"/>
      <c r="L1" s="19"/>
      <c r="M1" s="19"/>
      <c r="N1" s="19"/>
    </row>
    <row r="2" spans="1:17" ht="80.099999999999994" customHeight="1">
      <c r="A2" s="18" t="s">
        <v>1</v>
      </c>
      <c r="B2" s="19"/>
      <c r="C2" s="19"/>
      <c r="D2" s="19"/>
      <c r="E2" s="19"/>
      <c r="F2" s="19"/>
      <c r="G2" s="19"/>
      <c r="H2" s="19"/>
      <c r="I2" s="19"/>
      <c r="J2" s="19"/>
      <c r="K2" s="19"/>
      <c r="L2" s="19"/>
      <c r="M2" s="19"/>
      <c r="N2" s="19"/>
    </row>
    <row r="4" spans="1:17" ht="32.1" customHeight="1">
      <c r="A4" s="1" t="s">
        <v>2</v>
      </c>
      <c r="B4" s="1" t="s">
        <v>3</v>
      </c>
      <c r="C4" s="1" t="s">
        <v>4</v>
      </c>
      <c r="D4" s="1" t="s">
        <v>5</v>
      </c>
      <c r="E4" s="1" t="s">
        <v>6</v>
      </c>
      <c r="F4" s="1" t="s">
        <v>7</v>
      </c>
      <c r="G4" s="1" t="s">
        <v>8</v>
      </c>
      <c r="H4" s="1" t="s">
        <v>9</v>
      </c>
      <c r="I4" s="1" t="s">
        <v>10</v>
      </c>
      <c r="J4" s="1" t="s">
        <v>11</v>
      </c>
      <c r="K4" s="1" t="s">
        <v>12</v>
      </c>
      <c r="L4" s="1" t="s">
        <v>13</v>
      </c>
      <c r="M4" s="1" t="s">
        <v>14</v>
      </c>
      <c r="N4" s="1" t="s">
        <v>15</v>
      </c>
      <c r="P4" s="2" t="s">
        <v>16</v>
      </c>
      <c r="Q4" s="3"/>
    </row>
    <row r="5" spans="1:17">
      <c r="A5" s="4">
        <v>112000</v>
      </c>
      <c r="B5" s="4" t="s">
        <v>18</v>
      </c>
      <c r="C5" s="5" t="str">
        <f t="shared" ref="C5:C36" si="0">IFERROR(INDEX(ZCOA_CLASS,MATCH(D5&amp;"",ZCOA_CODE,0))&amp;"","")</f>
        <v>ASSET</v>
      </c>
      <c r="D5" s="5" t="s">
        <v>17</v>
      </c>
      <c r="E5" s="5" t="str">
        <f t="shared" ref="E5:E36" si="1">IFERROR(INDEX(ZCOA_NAME,MATCH(D5&amp;"",ZCOA_CODE,0))&amp;"","")</f>
        <v>Cash on Hand</v>
      </c>
      <c r="F5" s="5" t="s">
        <v>329</v>
      </c>
      <c r="G5" s="6">
        <v>0</v>
      </c>
      <c r="H5" s="6">
        <v>0</v>
      </c>
      <c r="I5" s="7">
        <v>46173</v>
      </c>
      <c r="J5" s="4" t="s">
        <v>19</v>
      </c>
      <c r="K5" s="4"/>
      <c r="L5" s="4"/>
      <c r="M5" s="4"/>
      <c r="N5" s="4"/>
      <c r="P5" s="8" t="s">
        <v>20</v>
      </c>
      <c r="Q5" s="9">
        <f>SUM(G5:G95)</f>
        <v>9914559383.4062691</v>
      </c>
    </row>
    <row r="6" spans="1:17">
      <c r="A6" s="4">
        <v>113003</v>
      </c>
      <c r="B6" s="4" t="s">
        <v>658</v>
      </c>
      <c r="C6" s="5" t="str">
        <f>IFERROR(INDEX(ZCOA_CLASS,MATCH(D6&amp;"",ZCOA_CODE,0))&amp;"","")</f>
        <v>ASSET</v>
      </c>
      <c r="D6" s="5" t="s">
        <v>21</v>
      </c>
      <c r="E6" s="5" t="str">
        <f t="shared" si="1"/>
        <v>Petty Cash</v>
      </c>
      <c r="F6" s="5" t="s">
        <v>335</v>
      </c>
      <c r="G6" s="6">
        <v>16228670.000003088</v>
      </c>
      <c r="H6" s="6">
        <v>0</v>
      </c>
      <c r="I6" s="7">
        <v>46173</v>
      </c>
      <c r="J6" s="4" t="s">
        <v>19</v>
      </c>
      <c r="K6" s="4"/>
      <c r="L6" s="4"/>
      <c r="M6" s="4"/>
      <c r="N6" s="4"/>
      <c r="P6" s="8" t="s">
        <v>23</v>
      </c>
      <c r="Q6" s="9">
        <f>SUM(H5:H95)</f>
        <v>9914559383.406271</v>
      </c>
    </row>
    <row r="7" spans="1:17">
      <c r="A7" s="4">
        <v>113993</v>
      </c>
      <c r="B7" s="4" t="s">
        <v>659</v>
      </c>
      <c r="C7" s="5" t="str">
        <f>IFERROR(INDEX(ZCOA_CLASS,MATCH(D7&amp;"",ZCOA_CODE,0))&amp;"","")</f>
        <v>ASSET</v>
      </c>
      <c r="D7" s="5" t="s">
        <v>24</v>
      </c>
      <c r="E7" s="5" t="str">
        <f t="shared" si="1"/>
        <v>Bank Account 1</v>
      </c>
      <c r="F7" s="5" t="s">
        <v>335</v>
      </c>
      <c r="G7" s="6">
        <v>1818205909.9999981</v>
      </c>
      <c r="H7" s="6">
        <v>0</v>
      </c>
      <c r="I7" s="7">
        <v>46173</v>
      </c>
      <c r="J7" s="4" t="s">
        <v>19</v>
      </c>
      <c r="K7" s="4"/>
      <c r="L7" s="4"/>
      <c r="M7" s="4"/>
      <c r="N7" s="4"/>
      <c r="P7" s="8" t="s">
        <v>26</v>
      </c>
      <c r="Q7" s="9">
        <f>Q5-Q6</f>
        <v>0</v>
      </c>
    </row>
    <row r="8" spans="1:17">
      <c r="A8" s="4">
        <v>121001</v>
      </c>
      <c r="B8" s="4" t="s">
        <v>660</v>
      </c>
      <c r="C8" s="5" t="str">
        <f>IFERROR(INDEX(ZCOA_CLASS,MATCH(D8&amp;"",ZCOA_CODE,0))&amp;"","")</f>
        <v>ASSET</v>
      </c>
      <c r="D8" s="5" t="s">
        <v>27</v>
      </c>
      <c r="E8" s="5" t="str">
        <f t="shared" si="1"/>
        <v>Bank Account 2</v>
      </c>
      <c r="F8" s="5" t="s">
        <v>340</v>
      </c>
      <c r="G8" s="6">
        <v>0</v>
      </c>
      <c r="H8" s="6">
        <v>0</v>
      </c>
      <c r="I8" s="7">
        <v>46173</v>
      </c>
      <c r="J8" s="4" t="s">
        <v>19</v>
      </c>
      <c r="K8" s="4"/>
      <c r="L8" s="4"/>
      <c r="M8" s="4"/>
      <c r="N8" s="4"/>
      <c r="P8" s="8" t="s">
        <v>29</v>
      </c>
      <c r="Q8" s="10" t="str">
        <f>IF(Q7=0,"BALANCED","NOT BALANCED")</f>
        <v>BALANCED</v>
      </c>
    </row>
    <row r="9" spans="1:17">
      <c r="A9" s="4">
        <v>135001</v>
      </c>
      <c r="B9" s="4" t="s">
        <v>661</v>
      </c>
      <c r="C9" s="5" t="str">
        <f>IFERROR(INDEX(ZCOA_CLASS,MATCH(D9&amp;"",ZCOA_CODE,0))&amp;"","")</f>
        <v>ASSET</v>
      </c>
      <c r="D9" s="5" t="s">
        <v>30</v>
      </c>
      <c r="E9" s="5" t="str">
        <f t="shared" si="1"/>
        <v>Bank Account 3</v>
      </c>
      <c r="F9" s="5" t="s">
        <v>376</v>
      </c>
      <c r="G9" s="6">
        <v>0</v>
      </c>
      <c r="H9" s="6">
        <v>0</v>
      </c>
      <c r="I9" s="7">
        <v>46173</v>
      </c>
      <c r="J9" s="4" t="s">
        <v>19</v>
      </c>
      <c r="K9" s="4"/>
      <c r="L9" s="4"/>
      <c r="M9" s="4"/>
      <c r="N9" s="4"/>
    </row>
    <row r="10" spans="1:17">
      <c r="A10" s="4">
        <v>140001</v>
      </c>
      <c r="B10" s="4" t="s">
        <v>662</v>
      </c>
      <c r="C10" s="5" t="str">
        <f t="shared" si="0"/>
        <v>ASSET</v>
      </c>
      <c r="D10" s="5" t="s">
        <v>32</v>
      </c>
      <c r="E10" s="5" t="str">
        <f t="shared" si="1"/>
        <v>Bank Account 4</v>
      </c>
      <c r="F10" s="5" t="s">
        <v>379</v>
      </c>
      <c r="G10" s="6">
        <v>3977808588.7398014</v>
      </c>
      <c r="H10" s="6">
        <v>0</v>
      </c>
      <c r="I10" s="7">
        <v>46173</v>
      </c>
      <c r="J10" s="4" t="s">
        <v>19</v>
      </c>
      <c r="K10" s="4"/>
      <c r="L10" s="4"/>
      <c r="M10" s="4"/>
      <c r="N10" s="4"/>
    </row>
    <row r="11" spans="1:17">
      <c r="A11" s="4">
        <v>140002</v>
      </c>
      <c r="B11" s="4" t="s">
        <v>663</v>
      </c>
      <c r="C11" s="5" t="str">
        <f t="shared" si="0"/>
        <v>ASSET</v>
      </c>
      <c r="D11" s="5" t="s">
        <v>34</v>
      </c>
      <c r="E11" s="5" t="str">
        <f t="shared" si="1"/>
        <v>Cash in Transit</v>
      </c>
      <c r="F11" s="5" t="s">
        <v>379</v>
      </c>
      <c r="G11" s="6">
        <v>3120948204.5249996</v>
      </c>
      <c r="H11" s="6">
        <v>0</v>
      </c>
      <c r="I11" s="7">
        <v>46173</v>
      </c>
      <c r="J11" s="4" t="s">
        <v>19</v>
      </c>
      <c r="K11" s="4"/>
      <c r="L11" s="4"/>
      <c r="M11" s="4"/>
      <c r="N11" s="4"/>
    </row>
    <row r="12" spans="1:17" ht="28.5">
      <c r="A12" s="4">
        <v>140003</v>
      </c>
      <c r="B12" s="4" t="s">
        <v>664</v>
      </c>
      <c r="C12" s="5" t="str">
        <f t="shared" si="0"/>
        <v>ASSET</v>
      </c>
      <c r="D12" s="5" t="s">
        <v>36</v>
      </c>
      <c r="E12" s="5" t="str">
        <f t="shared" si="1"/>
        <v>Interbank Transfer Clearing (Ayat Silang)</v>
      </c>
      <c r="F12" s="5" t="s">
        <v>379</v>
      </c>
      <c r="G12" s="6">
        <v>0</v>
      </c>
      <c r="H12" s="6">
        <v>0</v>
      </c>
      <c r="I12" s="7">
        <v>46173</v>
      </c>
      <c r="J12" s="4" t="s">
        <v>19</v>
      </c>
      <c r="K12" s="4"/>
      <c r="L12" s="4"/>
      <c r="M12" s="4"/>
      <c r="N12" s="4"/>
    </row>
    <row r="13" spans="1:17">
      <c r="A13" s="4">
        <v>140004</v>
      </c>
      <c r="B13" s="4" t="s">
        <v>665</v>
      </c>
      <c r="C13" s="5" t="str">
        <f t="shared" si="0"/>
        <v>ASSET</v>
      </c>
      <c r="D13" s="5" t="s">
        <v>38</v>
      </c>
      <c r="E13" s="5" t="str">
        <f t="shared" si="1"/>
        <v>Advances and Down Payments</v>
      </c>
      <c r="F13" s="5" t="s">
        <v>379</v>
      </c>
      <c r="G13" s="6">
        <v>0</v>
      </c>
      <c r="H13" s="6">
        <v>0</v>
      </c>
      <c r="I13" s="7">
        <v>46173</v>
      </c>
      <c r="J13" s="4" t="s">
        <v>19</v>
      </c>
      <c r="K13" s="4"/>
      <c r="L13" s="4"/>
      <c r="M13" s="4"/>
      <c r="N13" s="4"/>
    </row>
    <row r="14" spans="1:17">
      <c r="A14" s="4">
        <v>140005</v>
      </c>
      <c r="B14" s="4" t="s">
        <v>666</v>
      </c>
      <c r="C14" s="5" t="str">
        <f t="shared" si="0"/>
        <v>ASSET</v>
      </c>
      <c r="D14" s="5" t="s">
        <v>40</v>
      </c>
      <c r="E14" s="5" t="str">
        <f t="shared" si="1"/>
        <v>Allowance for Credit Losses</v>
      </c>
      <c r="F14" s="5" t="s">
        <v>379</v>
      </c>
      <c r="G14" s="6">
        <v>253281962.58346665</v>
      </c>
      <c r="H14" s="6">
        <v>0</v>
      </c>
      <c r="I14" s="7">
        <v>46173</v>
      </c>
      <c r="J14" s="4" t="s">
        <v>19</v>
      </c>
      <c r="K14" s="4"/>
      <c r="L14" s="4"/>
      <c r="M14" s="4"/>
      <c r="N14" s="4"/>
    </row>
    <row r="15" spans="1:17">
      <c r="A15" s="4">
        <v>140006</v>
      </c>
      <c r="B15" s="4" t="s">
        <v>667</v>
      </c>
      <c r="C15" s="5" t="str">
        <f t="shared" si="0"/>
        <v>ASSET</v>
      </c>
      <c r="D15" s="5" t="s">
        <v>42</v>
      </c>
      <c r="E15" s="5" t="str">
        <f t="shared" si="1"/>
        <v>Prepaid Income Taxes</v>
      </c>
      <c r="F15" s="5" t="s">
        <v>379</v>
      </c>
      <c r="G15" s="6">
        <v>39524371.25</v>
      </c>
      <c r="H15" s="6">
        <v>0</v>
      </c>
      <c r="I15" s="7">
        <v>46173</v>
      </c>
      <c r="J15" s="4" t="s">
        <v>19</v>
      </c>
      <c r="K15" s="4"/>
      <c r="L15" s="4"/>
      <c r="M15" s="4"/>
      <c r="N15" s="4"/>
    </row>
    <row r="16" spans="1:17">
      <c r="A16" s="4">
        <v>140007</v>
      </c>
      <c r="B16" s="4" t="s">
        <v>668</v>
      </c>
      <c r="C16" s="5" t="str">
        <f t="shared" si="0"/>
        <v>ASSET</v>
      </c>
      <c r="D16" s="5" t="s">
        <v>44</v>
      </c>
      <c r="E16" s="5" t="str">
        <f t="shared" si="1"/>
        <v>Input VAT Receivable</v>
      </c>
      <c r="F16" s="5" t="s">
        <v>379</v>
      </c>
      <c r="G16" s="6">
        <v>0</v>
      </c>
      <c r="H16" s="6">
        <v>0</v>
      </c>
      <c r="I16" s="7">
        <v>46173</v>
      </c>
      <c r="J16" s="4" t="s">
        <v>19</v>
      </c>
      <c r="K16" s="4"/>
      <c r="L16" s="4"/>
      <c r="M16" s="4"/>
      <c r="N16" s="4"/>
    </row>
    <row r="17" spans="1:14">
      <c r="A17" s="4">
        <v>140008</v>
      </c>
      <c r="B17" s="4" t="s">
        <v>669</v>
      </c>
      <c r="C17" s="5" t="str">
        <f t="shared" si="0"/>
        <v>ASSET</v>
      </c>
      <c r="D17" s="5" t="s">
        <v>46</v>
      </c>
      <c r="E17" s="5" t="str">
        <f t="shared" si="1"/>
        <v>Inventories</v>
      </c>
      <c r="F17" s="5" t="s">
        <v>379</v>
      </c>
      <c r="G17" s="6">
        <v>96044747.881333292</v>
      </c>
      <c r="H17" s="6">
        <v>0</v>
      </c>
      <c r="I17" s="7">
        <v>46173</v>
      </c>
      <c r="J17" s="4" t="s">
        <v>19</v>
      </c>
      <c r="K17" s="4"/>
      <c r="L17" s="4"/>
      <c r="M17" s="4"/>
      <c r="N17" s="4"/>
    </row>
    <row r="18" spans="1:14">
      <c r="A18" s="4">
        <v>149999</v>
      </c>
      <c r="B18" s="4" t="s">
        <v>670</v>
      </c>
      <c r="C18" s="5" t="str">
        <f t="shared" si="0"/>
        <v>ASSET</v>
      </c>
      <c r="D18" s="5" t="s">
        <v>48</v>
      </c>
      <c r="E18" s="5" t="str">
        <f t="shared" si="1"/>
        <v>Other Current Assets</v>
      </c>
      <c r="F18" s="5" t="s">
        <v>367</v>
      </c>
      <c r="G18" s="6">
        <v>0</v>
      </c>
      <c r="H18" s="6">
        <v>0</v>
      </c>
      <c r="I18" s="7">
        <v>46173</v>
      </c>
      <c r="J18" s="4" t="s">
        <v>19</v>
      </c>
      <c r="K18" s="4"/>
      <c r="L18" s="4"/>
      <c r="M18" s="4"/>
      <c r="N18" s="4"/>
    </row>
    <row r="19" spans="1:14">
      <c r="A19" s="4">
        <v>150001</v>
      </c>
      <c r="B19" s="4" t="s">
        <v>671</v>
      </c>
      <c r="C19" s="5" t="str">
        <f t="shared" si="0"/>
        <v>ASSET</v>
      </c>
      <c r="D19" s="5" t="s">
        <v>50</v>
      </c>
      <c r="E19" s="5" t="str">
        <f t="shared" si="1"/>
        <v>Employee Receivables</v>
      </c>
      <c r="F19" s="5" t="s">
        <v>358</v>
      </c>
      <c r="G19" s="6">
        <v>0</v>
      </c>
      <c r="H19" s="6">
        <v>0</v>
      </c>
      <c r="I19" s="7">
        <v>46173</v>
      </c>
      <c r="J19" s="4" t="s">
        <v>19</v>
      </c>
      <c r="K19" s="4"/>
      <c r="L19" s="4"/>
      <c r="M19" s="4"/>
      <c r="N19" s="4"/>
    </row>
    <row r="20" spans="1:14">
      <c r="A20" s="4">
        <v>160001</v>
      </c>
      <c r="B20" s="4" t="s">
        <v>672</v>
      </c>
      <c r="C20" s="5" t="str">
        <f t="shared" si="0"/>
        <v>ASSET</v>
      </c>
      <c r="D20" s="5" t="s">
        <v>52</v>
      </c>
      <c r="E20" s="5" t="str">
        <f t="shared" si="1"/>
        <v>Other Receivables</v>
      </c>
      <c r="F20" s="5" t="s">
        <v>398</v>
      </c>
      <c r="G20" s="6">
        <v>0</v>
      </c>
      <c r="H20" s="6">
        <v>0</v>
      </c>
      <c r="I20" s="7">
        <v>46173</v>
      </c>
      <c r="J20" s="4" t="s">
        <v>19</v>
      </c>
      <c r="K20" s="4"/>
      <c r="L20" s="4"/>
      <c r="M20" s="4"/>
      <c r="N20" s="4"/>
    </row>
    <row r="21" spans="1:14">
      <c r="A21" s="4">
        <v>171001</v>
      </c>
      <c r="B21" s="4" t="s">
        <v>673</v>
      </c>
      <c r="C21" s="5" t="str">
        <f t="shared" si="0"/>
        <v>ASSET</v>
      </c>
      <c r="D21" s="5" t="s">
        <v>54</v>
      </c>
      <c r="E21" s="5" t="str">
        <f t="shared" si="1"/>
        <v>Prepayment</v>
      </c>
      <c r="F21" s="5" t="s">
        <v>345</v>
      </c>
      <c r="G21" s="6">
        <v>0</v>
      </c>
      <c r="H21" s="6">
        <v>0</v>
      </c>
      <c r="I21" s="7">
        <v>46173</v>
      </c>
      <c r="J21" s="4" t="s">
        <v>19</v>
      </c>
      <c r="K21" s="4"/>
      <c r="L21" s="4"/>
      <c r="M21" s="4"/>
      <c r="N21" s="4"/>
    </row>
    <row r="22" spans="1:14">
      <c r="A22" s="4">
        <v>140009</v>
      </c>
      <c r="B22" s="4" t="s">
        <v>674</v>
      </c>
      <c r="C22" s="5" t="str">
        <f t="shared" si="0"/>
        <v>ASSET</v>
      </c>
      <c r="D22" s="5" t="s">
        <v>56</v>
      </c>
      <c r="E22" s="5" t="str">
        <f t="shared" si="1"/>
        <v>Related Party Receivables</v>
      </c>
      <c r="F22" s="5" t="s">
        <v>379</v>
      </c>
      <c r="G22" s="6">
        <v>107817422.75999999</v>
      </c>
      <c r="H22" s="6">
        <v>0</v>
      </c>
      <c r="I22" s="7">
        <v>46173</v>
      </c>
      <c r="J22" s="4" t="s">
        <v>19</v>
      </c>
      <c r="K22" s="4"/>
      <c r="L22" s="4"/>
      <c r="M22" s="4"/>
      <c r="N22" s="4"/>
    </row>
    <row r="23" spans="1:14" ht="28.5">
      <c r="A23" s="4">
        <v>172001</v>
      </c>
      <c r="B23" s="4" t="s">
        <v>675</v>
      </c>
      <c r="C23" s="5" t="str">
        <f t="shared" si="0"/>
        <v>ASSET</v>
      </c>
      <c r="D23" s="5" t="s">
        <v>58</v>
      </c>
      <c r="E23" s="5" t="str">
        <f t="shared" si="1"/>
        <v>Deposit</v>
      </c>
      <c r="F23" s="5" t="s">
        <v>352</v>
      </c>
      <c r="G23" s="6">
        <v>41932412</v>
      </c>
      <c r="H23" s="6">
        <v>0</v>
      </c>
      <c r="I23" s="7">
        <v>46173</v>
      </c>
      <c r="J23" s="4" t="s">
        <v>19</v>
      </c>
      <c r="K23" s="4"/>
      <c r="L23" s="4"/>
      <c r="M23" s="4"/>
      <c r="N23" s="4"/>
    </row>
    <row r="24" spans="1:14" ht="28.5">
      <c r="A24" s="4">
        <v>172002</v>
      </c>
      <c r="B24" s="4" t="s">
        <v>676</v>
      </c>
      <c r="C24" s="5" t="str">
        <f t="shared" si="0"/>
        <v>ASSET</v>
      </c>
      <c r="D24" s="5" t="s">
        <v>60</v>
      </c>
      <c r="E24" s="5" t="str">
        <f t="shared" si="1"/>
        <v>Trade Receivables</v>
      </c>
      <c r="F24" s="5" t="s">
        <v>352</v>
      </c>
      <c r="G24" s="6">
        <v>0</v>
      </c>
      <c r="H24" s="6">
        <v>0</v>
      </c>
      <c r="I24" s="7">
        <v>46173</v>
      </c>
      <c r="J24" s="4" t="s">
        <v>19</v>
      </c>
      <c r="K24" s="4"/>
      <c r="L24" s="4"/>
      <c r="M24" s="4"/>
      <c r="N24" s="4"/>
    </row>
    <row r="25" spans="1:14">
      <c r="A25" s="4">
        <v>172003</v>
      </c>
      <c r="B25" s="4" t="s">
        <v>677</v>
      </c>
      <c r="C25" s="5" t="str">
        <f t="shared" si="0"/>
        <v>ASSET</v>
      </c>
      <c r="D25" s="5" t="s">
        <v>62</v>
      </c>
      <c r="E25" s="5" t="str">
        <f t="shared" si="1"/>
        <v>Service / Repair Receivables</v>
      </c>
      <c r="F25" s="5" t="s">
        <v>355</v>
      </c>
      <c r="G25" s="6">
        <v>0</v>
      </c>
      <c r="H25" s="6">
        <v>0</v>
      </c>
      <c r="I25" s="7">
        <v>46173</v>
      </c>
      <c r="J25" s="4" t="s">
        <v>19</v>
      </c>
      <c r="K25" s="4"/>
      <c r="L25" s="4"/>
      <c r="M25" s="4"/>
      <c r="N25" s="4"/>
    </row>
    <row r="26" spans="1:14" ht="28.5">
      <c r="A26" s="4">
        <v>173001</v>
      </c>
      <c r="B26" s="4" t="s">
        <v>678</v>
      </c>
      <c r="C26" s="5" t="str">
        <f t="shared" si="0"/>
        <v>ASSET</v>
      </c>
      <c r="D26" s="5" t="s">
        <v>64</v>
      </c>
      <c r="E26" s="5" t="str">
        <f t="shared" si="1"/>
        <v>Spare Parts / Consumables Inventory</v>
      </c>
      <c r="F26" s="5" t="s">
        <v>370</v>
      </c>
      <c r="G26" s="6">
        <v>144139986.33333328</v>
      </c>
      <c r="H26" s="6">
        <v>0</v>
      </c>
      <c r="I26" s="7">
        <v>46173</v>
      </c>
      <c r="J26" s="4" t="s">
        <v>19</v>
      </c>
      <c r="K26" s="4"/>
      <c r="L26" s="4"/>
      <c r="M26" s="4"/>
      <c r="N26" s="4"/>
    </row>
    <row r="27" spans="1:14">
      <c r="A27" s="4">
        <v>181001</v>
      </c>
      <c r="B27" s="4" t="s">
        <v>679</v>
      </c>
      <c r="C27" s="5" t="str">
        <f t="shared" si="0"/>
        <v>ASSET</v>
      </c>
      <c r="D27" s="5" t="s">
        <v>66</v>
      </c>
      <c r="E27" s="5" t="str">
        <f t="shared" si="1"/>
        <v>Ppe Accum Depreciation</v>
      </c>
      <c r="F27" s="5" t="s">
        <v>408</v>
      </c>
      <c r="G27" s="6">
        <v>104232000</v>
      </c>
      <c r="H27" s="6">
        <v>0</v>
      </c>
      <c r="I27" s="7">
        <v>46173</v>
      </c>
      <c r="J27" s="4" t="s">
        <v>19</v>
      </c>
      <c r="K27" s="4"/>
      <c r="L27" s="4"/>
      <c r="M27" s="4"/>
      <c r="N27" s="4"/>
    </row>
    <row r="28" spans="1:14" ht="28.5">
      <c r="A28" s="4">
        <v>182001</v>
      </c>
      <c r="B28" s="4" t="s">
        <v>680</v>
      </c>
      <c r="C28" s="5" t="str">
        <f t="shared" si="0"/>
        <v>ASSET</v>
      </c>
      <c r="D28" s="5" t="s">
        <v>68</v>
      </c>
      <c r="E28" s="5" t="str">
        <f t="shared" si="1"/>
        <v>Impairment Allowance</v>
      </c>
      <c r="F28" s="5" t="s">
        <v>388</v>
      </c>
      <c r="G28" s="6">
        <v>0</v>
      </c>
      <c r="H28" s="6">
        <v>30386024</v>
      </c>
      <c r="I28" s="7">
        <v>46173</v>
      </c>
      <c r="J28" s="4" t="s">
        <v>19</v>
      </c>
      <c r="K28" s="4"/>
      <c r="L28" s="4"/>
      <c r="M28" s="4"/>
      <c r="N28" s="4"/>
    </row>
    <row r="29" spans="1:14">
      <c r="A29" s="4">
        <v>191001</v>
      </c>
      <c r="B29" s="4" t="s">
        <v>681</v>
      </c>
      <c r="C29" s="5" t="str">
        <f t="shared" si="0"/>
        <v>ASSET</v>
      </c>
      <c r="D29" s="5" t="s">
        <v>70</v>
      </c>
      <c r="E29" s="5" t="str">
        <f t="shared" si="1"/>
        <v>Tax Deferred</v>
      </c>
      <c r="F29" s="5" t="s">
        <v>395</v>
      </c>
      <c r="G29" s="6">
        <v>0</v>
      </c>
      <c r="H29" s="6">
        <v>0</v>
      </c>
      <c r="I29" s="7">
        <v>46173</v>
      </c>
      <c r="J29" s="4" t="s">
        <v>19</v>
      </c>
      <c r="K29" s="4"/>
      <c r="L29" s="4"/>
      <c r="M29" s="4"/>
      <c r="N29" s="4"/>
    </row>
    <row r="30" spans="1:14">
      <c r="A30" s="4">
        <v>211001</v>
      </c>
      <c r="B30" s="4" t="s">
        <v>682</v>
      </c>
      <c r="C30" s="5" t="s">
        <v>414</v>
      </c>
      <c r="D30" s="5" t="s">
        <v>86</v>
      </c>
      <c r="E30" s="5" t="str">
        <f t="shared" si="1"/>
        <v>Accrued Employee Costs</v>
      </c>
      <c r="F30" s="5" t="s">
        <v>422</v>
      </c>
      <c r="G30" s="6">
        <v>0</v>
      </c>
      <c r="H30" s="6">
        <v>2500000000</v>
      </c>
      <c r="I30" s="7">
        <v>46173</v>
      </c>
      <c r="J30" s="4" t="s">
        <v>19</v>
      </c>
      <c r="K30" s="4"/>
      <c r="L30" s="4"/>
      <c r="M30" s="4"/>
      <c r="N30" s="4"/>
    </row>
    <row r="31" spans="1:14">
      <c r="A31" s="4">
        <v>212001</v>
      </c>
      <c r="B31" s="4" t="s">
        <v>683</v>
      </c>
      <c r="C31" s="5" t="s">
        <v>414</v>
      </c>
      <c r="D31" s="5" t="s">
        <v>88</v>
      </c>
      <c r="E31" s="5" t="str">
        <f t="shared" si="1"/>
        <v>Accrued Expenses</v>
      </c>
      <c r="F31" s="5" t="s">
        <v>422</v>
      </c>
      <c r="G31" s="6">
        <v>0</v>
      </c>
      <c r="H31" s="6">
        <v>0</v>
      </c>
      <c r="I31" s="7">
        <v>46173</v>
      </c>
      <c r="J31" s="4" t="s">
        <v>19</v>
      </c>
      <c r="K31" s="4"/>
      <c r="L31" s="4"/>
      <c r="M31" s="4"/>
      <c r="N31" s="4"/>
    </row>
    <row r="32" spans="1:14">
      <c r="A32" s="4">
        <v>221001</v>
      </c>
      <c r="B32" s="4" t="s">
        <v>684</v>
      </c>
      <c r="C32" s="5" t="s">
        <v>414</v>
      </c>
      <c r="D32" s="5" t="s">
        <v>90</v>
      </c>
      <c r="E32" s="5" t="str">
        <f t="shared" si="1"/>
        <v>Current Borrowings</v>
      </c>
      <c r="F32" s="5" t="s">
        <v>444</v>
      </c>
      <c r="G32" s="6">
        <v>0</v>
      </c>
      <c r="H32" s="6">
        <v>0.45000076293945313</v>
      </c>
      <c r="I32" s="7">
        <v>46173</v>
      </c>
      <c r="J32" s="4" t="s">
        <v>19</v>
      </c>
      <c r="K32" s="4"/>
      <c r="L32" s="4"/>
      <c r="M32" s="4"/>
      <c r="N32" s="4"/>
    </row>
    <row r="33" spans="1:14">
      <c r="A33" s="4">
        <v>222001</v>
      </c>
      <c r="B33" s="4" t="s">
        <v>685</v>
      </c>
      <c r="C33" s="5" t="s">
        <v>414</v>
      </c>
      <c r="D33" s="5" t="s">
        <v>92</v>
      </c>
      <c r="E33" s="5" t="str">
        <f t="shared" si="1"/>
        <v>Deferred / Contract Revenue</v>
      </c>
      <c r="F33" s="5" t="s">
        <v>428</v>
      </c>
      <c r="G33" s="6">
        <v>0</v>
      </c>
      <c r="H33" s="6">
        <v>447913866</v>
      </c>
      <c r="I33" s="7">
        <v>46173</v>
      </c>
      <c r="J33" s="4" t="s">
        <v>19</v>
      </c>
      <c r="K33" s="4"/>
      <c r="L33" s="4"/>
      <c r="M33" s="4"/>
      <c r="N33" s="4"/>
    </row>
    <row r="34" spans="1:14">
      <c r="A34" s="4">
        <v>223001</v>
      </c>
      <c r="B34" s="4" t="s">
        <v>686</v>
      </c>
      <c r="C34" s="5" t="s">
        <v>414</v>
      </c>
      <c r="D34" s="5" t="s">
        <v>94</v>
      </c>
      <c r="E34" s="5" t="str">
        <f t="shared" si="1"/>
        <v>Other Current Liabilities</v>
      </c>
      <c r="F34" s="5" t="s">
        <v>428</v>
      </c>
      <c r="G34" s="6">
        <v>0</v>
      </c>
      <c r="H34" s="6">
        <v>242804644</v>
      </c>
      <c r="I34" s="7">
        <v>46173</v>
      </c>
      <c r="J34" s="4" t="s">
        <v>19</v>
      </c>
      <c r="K34" s="4"/>
      <c r="L34" s="4"/>
      <c r="M34" s="4"/>
      <c r="N34" s="4"/>
    </row>
    <row r="35" spans="1:14">
      <c r="A35" s="4">
        <v>223999</v>
      </c>
      <c r="B35" s="4" t="s">
        <v>687</v>
      </c>
      <c r="C35" s="5" t="s">
        <v>414</v>
      </c>
      <c r="D35" s="5" t="s">
        <v>96</v>
      </c>
      <c r="E35" s="5" t="str">
        <f t="shared" si="1"/>
        <v>Other Payables</v>
      </c>
      <c r="F35" s="5" t="s">
        <v>431</v>
      </c>
      <c r="G35" s="6">
        <v>0</v>
      </c>
      <c r="H35" s="6">
        <v>73886900.024999142</v>
      </c>
      <c r="I35" s="7">
        <v>46173</v>
      </c>
      <c r="J35" s="4" t="s">
        <v>19</v>
      </c>
      <c r="K35" s="4"/>
      <c r="L35" s="4"/>
      <c r="M35" s="4"/>
      <c r="N35" s="4"/>
    </row>
    <row r="36" spans="1:14" ht="28.5">
      <c r="A36" s="4">
        <v>231001</v>
      </c>
      <c r="B36" s="4" t="s">
        <v>688</v>
      </c>
      <c r="C36" s="5" t="s">
        <v>414</v>
      </c>
      <c r="D36" s="5" t="s">
        <v>98</v>
      </c>
      <c r="E36" s="5" t="str">
        <f t="shared" si="1"/>
        <v>Related Party Payables</v>
      </c>
      <c r="F36" s="5" t="s">
        <v>419</v>
      </c>
      <c r="G36" s="6">
        <v>0</v>
      </c>
      <c r="H36" s="6">
        <v>171999800</v>
      </c>
      <c r="I36" s="7">
        <v>46173</v>
      </c>
      <c r="J36" s="4" t="s">
        <v>19</v>
      </c>
      <c r="K36" s="4"/>
      <c r="L36" s="4"/>
      <c r="M36" s="4"/>
      <c r="N36" s="4"/>
    </row>
    <row r="37" spans="1:14">
      <c r="A37" s="4">
        <v>233001</v>
      </c>
      <c r="B37" s="4" t="s">
        <v>689</v>
      </c>
      <c r="C37" s="5" t="str">
        <f t="shared" ref="C37:C68" si="2">IFERROR(INDEX(ZCOA_CLASS,MATCH(D37&amp;"",ZCOA_CODE,0))&amp;"","")</f>
        <v>LIABILITY</v>
      </c>
      <c r="D37" s="5" t="s">
        <v>100</v>
      </c>
      <c r="E37" s="5" t="str">
        <f>IFERROR(INDEX(ZCOA_NAME,MATCH(D37&amp;"",ZCOA_CODE,0))&amp;"","")</f>
        <v>Income Tax Payable</v>
      </c>
      <c r="F37" s="5" t="s">
        <v>419</v>
      </c>
      <c r="G37" s="6">
        <v>0</v>
      </c>
      <c r="H37" s="6">
        <v>253360000</v>
      </c>
      <c r="I37" s="7">
        <v>46173</v>
      </c>
      <c r="J37" s="4" t="s">
        <v>19</v>
      </c>
      <c r="K37" s="4"/>
      <c r="L37" s="4"/>
      <c r="M37" s="4"/>
      <c r="N37" s="4"/>
    </row>
    <row r="38" spans="1:14" ht="28.5">
      <c r="A38" s="4">
        <v>233002</v>
      </c>
      <c r="B38" s="4" t="s">
        <v>690</v>
      </c>
      <c r="C38" s="5" t="str">
        <f t="shared" si="2"/>
        <v>LIABILITY</v>
      </c>
      <c r="D38" s="5" t="s">
        <v>102</v>
      </c>
      <c r="E38" s="5" t="str">
        <f t="shared" ref="E37:E68" si="3">IFERROR(INDEX(ZCOA_NAME,MATCH(D38&amp;"",ZCOA_CODE,0))&amp;"","")</f>
        <v>Other Tax Payables</v>
      </c>
      <c r="F38" s="5" t="s">
        <v>417</v>
      </c>
      <c r="G38" s="6">
        <v>0</v>
      </c>
      <c r="H38" s="6">
        <v>600000000</v>
      </c>
      <c r="I38" s="7">
        <v>46173</v>
      </c>
      <c r="J38" s="4" t="s">
        <v>19</v>
      </c>
      <c r="K38" s="4"/>
      <c r="L38" s="4"/>
      <c r="M38" s="4"/>
      <c r="N38" s="4"/>
    </row>
    <row r="39" spans="1:14" ht="28.5">
      <c r="A39" s="4">
        <v>241001</v>
      </c>
      <c r="B39" s="4" t="s">
        <v>691</v>
      </c>
      <c r="C39" s="5" t="str">
        <f t="shared" si="2"/>
        <v>LIABILITY</v>
      </c>
      <c r="D39" s="5" t="s">
        <v>104</v>
      </c>
      <c r="E39" s="5" t="str">
        <f t="shared" si="3"/>
        <v>Output VAT Payable</v>
      </c>
      <c r="F39" s="5" t="s">
        <v>437</v>
      </c>
      <c r="G39" s="6">
        <v>0</v>
      </c>
      <c r="H39" s="6">
        <v>138744953.44999999</v>
      </c>
      <c r="I39" s="7">
        <v>46173</v>
      </c>
      <c r="J39" s="4" t="s">
        <v>19</v>
      </c>
      <c r="K39" s="4"/>
      <c r="L39" s="4"/>
      <c r="M39" s="4"/>
      <c r="N39" s="4"/>
    </row>
    <row r="40" spans="1:14" ht="28.5">
      <c r="A40" s="4">
        <v>242001</v>
      </c>
      <c r="B40" s="4" t="s">
        <v>692</v>
      </c>
      <c r="C40" s="5" t="str">
        <f t="shared" si="2"/>
        <v>LIABILITY</v>
      </c>
      <c r="D40" s="5" t="s">
        <v>106</v>
      </c>
      <c r="E40" s="5" t="str">
        <f t="shared" si="3"/>
        <v>Trade Payables</v>
      </c>
      <c r="F40" s="5" t="s">
        <v>437</v>
      </c>
      <c r="G40" s="6">
        <v>0</v>
      </c>
      <c r="H40" s="6">
        <v>204082</v>
      </c>
      <c r="I40" s="7">
        <v>46173</v>
      </c>
      <c r="J40" s="4" t="s">
        <v>19</v>
      </c>
      <c r="K40" s="4"/>
      <c r="L40" s="4"/>
      <c r="M40" s="4"/>
      <c r="N40" s="4"/>
    </row>
    <row r="41" spans="1:14" ht="28.5">
      <c r="A41" s="4">
        <v>243001</v>
      </c>
      <c r="B41" s="4" t="s">
        <v>693</v>
      </c>
      <c r="C41" s="5" t="str">
        <f t="shared" si="2"/>
        <v>LIABILITY</v>
      </c>
      <c r="D41" s="5" t="s">
        <v>108</v>
      </c>
      <c r="E41" s="5" t="str">
        <f t="shared" si="3"/>
        <v>Long-term Borrowings</v>
      </c>
      <c r="F41" s="5" t="s">
        <v>437</v>
      </c>
      <c r="G41" s="6">
        <v>0</v>
      </c>
      <c r="H41" s="6">
        <v>8204300</v>
      </c>
      <c r="I41" s="7">
        <v>46173</v>
      </c>
      <c r="J41" s="4" t="s">
        <v>19</v>
      </c>
      <c r="K41" s="4"/>
      <c r="L41" s="4"/>
      <c r="M41" s="4"/>
      <c r="N41" s="4"/>
    </row>
    <row r="42" spans="1:14" ht="28.5">
      <c r="A42" s="4">
        <v>244001</v>
      </c>
      <c r="B42" s="4" t="s">
        <v>694</v>
      </c>
      <c r="C42" s="5" t="str">
        <f t="shared" si="2"/>
        <v>LIABILITY</v>
      </c>
      <c r="D42" s="5" t="s">
        <v>110</v>
      </c>
      <c r="E42" s="5" t="str">
        <f t="shared" si="3"/>
        <v>Tax Deferred</v>
      </c>
      <c r="F42" s="5" t="s">
        <v>437</v>
      </c>
      <c r="G42" s="6">
        <v>0</v>
      </c>
      <c r="H42" s="6">
        <v>0</v>
      </c>
      <c r="I42" s="7">
        <v>46173</v>
      </c>
      <c r="J42" s="4" t="s">
        <v>19</v>
      </c>
      <c r="K42" s="4"/>
      <c r="L42" s="4"/>
      <c r="M42" s="4"/>
      <c r="N42" s="4"/>
    </row>
    <row r="43" spans="1:14" ht="28.5">
      <c r="A43" s="4">
        <v>245000</v>
      </c>
      <c r="B43" s="4" t="s">
        <v>695</v>
      </c>
      <c r="C43" s="5" t="str">
        <f t="shared" si="2"/>
        <v>LIABILITY</v>
      </c>
      <c r="D43" s="5" t="s">
        <v>111</v>
      </c>
      <c r="E43" s="5" t="str">
        <f t="shared" si="3"/>
        <v>Employee Benefit Obligations</v>
      </c>
      <c r="F43" s="5" t="s">
        <v>437</v>
      </c>
      <c r="G43" s="6">
        <v>0</v>
      </c>
      <c r="H43" s="6">
        <v>104230475</v>
      </c>
      <c r="I43" s="7">
        <v>46173</v>
      </c>
      <c r="J43" s="4" t="s">
        <v>19</v>
      </c>
      <c r="K43" s="4"/>
      <c r="L43" s="4"/>
      <c r="M43" s="4"/>
      <c r="N43" s="4"/>
    </row>
    <row r="44" spans="1:14" ht="28.5">
      <c r="A44" s="4">
        <v>245001</v>
      </c>
      <c r="B44" s="4" t="s">
        <v>696</v>
      </c>
      <c r="C44" s="5" t="str">
        <f t="shared" si="2"/>
        <v>LIABILITY</v>
      </c>
      <c r="D44" s="5" t="s">
        <v>113</v>
      </c>
      <c r="E44" s="5" t="str">
        <f t="shared" si="3"/>
        <v>Lease Liabilities</v>
      </c>
      <c r="F44" s="5" t="s">
        <v>437</v>
      </c>
      <c r="G44" s="6">
        <v>0</v>
      </c>
      <c r="H44" s="6">
        <v>0</v>
      </c>
      <c r="I44" s="7">
        <v>46173</v>
      </c>
      <c r="J44" s="4" t="s">
        <v>19</v>
      </c>
      <c r="K44" s="4"/>
      <c r="L44" s="4"/>
      <c r="M44" s="4"/>
      <c r="N44" s="4"/>
    </row>
    <row r="45" spans="1:14">
      <c r="A45" s="4">
        <v>246001</v>
      </c>
      <c r="B45" s="4" t="s">
        <v>697</v>
      </c>
      <c r="C45" s="5" t="str">
        <f t="shared" si="2"/>
        <v>LIABILITY</v>
      </c>
      <c r="D45" s="5" t="s">
        <v>115</v>
      </c>
      <c r="E45" s="5" t="str">
        <f t="shared" si="3"/>
        <v>Borrowing Related Party</v>
      </c>
      <c r="F45" s="5" t="s">
        <v>441</v>
      </c>
      <c r="G45" s="6">
        <v>0</v>
      </c>
      <c r="H45" s="6">
        <v>41554644</v>
      </c>
      <c r="I45" s="7">
        <v>46173</v>
      </c>
      <c r="J45" s="4" t="s">
        <v>19</v>
      </c>
      <c r="K45" s="4"/>
      <c r="L45" s="4"/>
      <c r="M45" s="4"/>
      <c r="N45" s="4"/>
    </row>
    <row r="46" spans="1:14">
      <c r="A46" s="4">
        <v>251001</v>
      </c>
      <c r="B46" s="4" t="s">
        <v>698</v>
      </c>
      <c r="C46" s="5" t="str">
        <f t="shared" si="2"/>
        <v/>
      </c>
      <c r="D46" s="5" t="s">
        <v>748</v>
      </c>
      <c r="E46" s="5" t="str">
        <f t="shared" si="3"/>
        <v/>
      </c>
      <c r="F46" s="5" t="s">
        <v>425</v>
      </c>
      <c r="G46" s="6">
        <v>0</v>
      </c>
      <c r="H46" s="6">
        <v>0</v>
      </c>
      <c r="I46" s="7">
        <v>46173</v>
      </c>
      <c r="J46" s="4" t="s">
        <v>19</v>
      </c>
      <c r="K46" s="4"/>
      <c r="L46" s="4"/>
      <c r="M46" s="4"/>
      <c r="N46" s="4"/>
    </row>
    <row r="47" spans="1:14">
      <c r="A47" s="4">
        <v>252001</v>
      </c>
      <c r="B47" s="4" t="s">
        <v>699</v>
      </c>
      <c r="C47" s="5" t="str">
        <f t="shared" si="2"/>
        <v/>
      </c>
      <c r="D47" s="5" t="s">
        <v>749</v>
      </c>
      <c r="E47" s="5" t="str">
        <f t="shared" si="3"/>
        <v/>
      </c>
      <c r="F47" s="5" t="s">
        <v>451</v>
      </c>
      <c r="G47" s="6">
        <v>0</v>
      </c>
      <c r="H47" s="6">
        <v>0</v>
      </c>
      <c r="I47" s="7">
        <v>46173</v>
      </c>
      <c r="J47" s="4" t="s">
        <v>19</v>
      </c>
      <c r="K47" s="4"/>
      <c r="L47" s="4"/>
      <c r="M47" s="4"/>
      <c r="N47" s="4"/>
    </row>
    <row r="48" spans="1:14">
      <c r="A48" s="4">
        <v>311001</v>
      </c>
      <c r="B48" s="4" t="s">
        <v>700</v>
      </c>
      <c r="C48" s="5" t="s">
        <v>462</v>
      </c>
      <c r="D48" s="5" t="s">
        <v>117</v>
      </c>
      <c r="E48" s="5" t="str">
        <f t="shared" si="3"/>
        <v>Additional Paid-in Capital</v>
      </c>
      <c r="F48" s="5" t="s">
        <v>482</v>
      </c>
      <c r="G48" s="6">
        <v>0</v>
      </c>
      <c r="H48" s="6">
        <v>100000000</v>
      </c>
      <c r="I48" s="7">
        <v>46173</v>
      </c>
      <c r="J48" s="4" t="s">
        <v>19</v>
      </c>
      <c r="K48" s="4"/>
      <c r="L48" s="4"/>
      <c r="M48" s="4"/>
      <c r="N48" s="4"/>
    </row>
    <row r="49" spans="1:14">
      <c r="A49" s="4">
        <v>311002</v>
      </c>
      <c r="B49" s="4" t="s">
        <v>701</v>
      </c>
      <c r="C49" s="5" t="s">
        <v>462</v>
      </c>
      <c r="D49" s="5" t="s">
        <v>119</v>
      </c>
      <c r="E49" s="5" t="str">
        <f t="shared" si="3"/>
        <v>Current Period Earnings</v>
      </c>
      <c r="F49" s="5" t="s">
        <v>479</v>
      </c>
      <c r="G49" s="6">
        <v>0</v>
      </c>
      <c r="H49" s="6">
        <v>0</v>
      </c>
      <c r="I49" s="7">
        <v>46173</v>
      </c>
      <c r="J49" s="4" t="s">
        <v>19</v>
      </c>
      <c r="K49" s="4"/>
      <c r="L49" s="4"/>
      <c r="M49" s="4"/>
      <c r="N49" s="4"/>
    </row>
    <row r="50" spans="1:14">
      <c r="A50" s="4">
        <v>311003</v>
      </c>
      <c r="B50" s="4" t="s">
        <v>702</v>
      </c>
      <c r="C50" s="5" t="s">
        <v>462</v>
      </c>
      <c r="D50" s="5" t="s">
        <v>121</v>
      </c>
      <c r="E50" s="5" t="str">
        <f t="shared" si="3"/>
        <v>Other Comprehensive Income</v>
      </c>
      <c r="F50" s="5" t="s">
        <v>467</v>
      </c>
      <c r="G50" s="6">
        <v>0</v>
      </c>
      <c r="H50" s="6">
        <v>888617329.76386833</v>
      </c>
      <c r="I50" s="7">
        <v>46173</v>
      </c>
      <c r="J50" s="4" t="s">
        <v>19</v>
      </c>
      <c r="K50" s="4"/>
      <c r="L50" s="4"/>
      <c r="M50" s="4"/>
      <c r="N50" s="4"/>
    </row>
    <row r="51" spans="1:14">
      <c r="A51" s="4">
        <v>320001</v>
      </c>
      <c r="B51" s="4" t="s">
        <v>703</v>
      </c>
      <c r="C51" s="5" t="s">
        <v>462</v>
      </c>
      <c r="D51" s="5" t="s">
        <v>123</v>
      </c>
      <c r="E51" s="5" t="str">
        <f t="shared" si="3"/>
        <v>Other Equity</v>
      </c>
      <c r="F51" s="5" t="s">
        <v>473</v>
      </c>
      <c r="G51" s="6">
        <v>0</v>
      </c>
      <c r="H51" s="6">
        <v>0</v>
      </c>
      <c r="I51" s="7">
        <v>46173</v>
      </c>
      <c r="J51" s="4" t="s">
        <v>19</v>
      </c>
      <c r="K51" s="4"/>
      <c r="L51" s="4"/>
      <c r="M51" s="4"/>
      <c r="N51" s="4"/>
    </row>
    <row r="52" spans="1:14" ht="28.5">
      <c r="A52" s="4">
        <v>331001</v>
      </c>
      <c r="B52" s="4" t="s">
        <v>704</v>
      </c>
      <c r="C52" s="5" t="s">
        <v>462</v>
      </c>
      <c r="D52" s="5" t="s">
        <v>125</v>
      </c>
      <c r="E52" s="5" t="str">
        <f t="shared" si="3"/>
        <v>Owner Drawings</v>
      </c>
      <c r="F52" s="5" t="s">
        <v>479</v>
      </c>
      <c r="G52" s="6">
        <v>0</v>
      </c>
      <c r="H52" s="6">
        <v>3885353502</v>
      </c>
      <c r="I52" s="7">
        <v>46173</v>
      </c>
      <c r="J52" s="4" t="s">
        <v>19</v>
      </c>
      <c r="K52" s="4"/>
      <c r="L52" s="4"/>
      <c r="M52" s="4"/>
      <c r="N52" s="4"/>
    </row>
    <row r="53" spans="1:14">
      <c r="A53" s="4">
        <v>333001</v>
      </c>
      <c r="B53" s="4" t="s">
        <v>705</v>
      </c>
      <c r="C53" s="5" t="s">
        <v>462</v>
      </c>
      <c r="D53" s="5" t="s">
        <v>127</v>
      </c>
      <c r="E53" s="5" t="str">
        <f t="shared" si="3"/>
        <v>Retained Earnings</v>
      </c>
      <c r="F53" s="5" t="s">
        <v>476</v>
      </c>
      <c r="G53" s="6">
        <v>0</v>
      </c>
      <c r="H53" s="6">
        <v>0</v>
      </c>
      <c r="I53" s="7">
        <v>46173</v>
      </c>
      <c r="J53" s="4" t="s">
        <v>19</v>
      </c>
      <c r="K53" s="4"/>
      <c r="L53" s="4"/>
      <c r="M53" s="4"/>
      <c r="N53" s="4"/>
    </row>
    <row r="54" spans="1:14">
      <c r="A54" s="4">
        <v>411001</v>
      </c>
      <c r="B54" s="4" t="s">
        <v>706</v>
      </c>
      <c r="C54" s="5" t="s">
        <v>484</v>
      </c>
      <c r="D54" s="5" t="s">
        <v>131</v>
      </c>
      <c r="E54" s="5" t="str">
        <f t="shared" si="3"/>
        <v>Sales Revenue</v>
      </c>
      <c r="F54" s="5" t="s">
        <v>490</v>
      </c>
      <c r="G54" s="6">
        <v>0</v>
      </c>
      <c r="H54" s="6">
        <v>199976244.51860034</v>
      </c>
      <c r="I54" s="7">
        <v>46173</v>
      </c>
      <c r="J54" s="4" t="s">
        <v>19</v>
      </c>
      <c r="K54" s="4"/>
      <c r="L54" s="4"/>
      <c r="M54" s="4"/>
      <c r="N54" s="4"/>
    </row>
    <row r="55" spans="1:14">
      <c r="A55" s="4">
        <v>411002</v>
      </c>
      <c r="B55" s="4" t="s">
        <v>707</v>
      </c>
      <c r="C55" s="5" t="s">
        <v>484</v>
      </c>
      <c r="D55" s="5" t="s">
        <v>133</v>
      </c>
      <c r="E55" s="5" t="str">
        <f t="shared" si="3"/>
        <v>Service Revenue</v>
      </c>
      <c r="F55" s="5" t="s">
        <v>490</v>
      </c>
      <c r="G55" s="6">
        <v>0</v>
      </c>
      <c r="H55" s="6">
        <v>202522337.28000003</v>
      </c>
      <c r="I55" s="7">
        <v>46173</v>
      </c>
      <c r="J55" s="4" t="s">
        <v>19</v>
      </c>
      <c r="K55" s="4"/>
      <c r="L55" s="4"/>
      <c r="M55" s="4"/>
      <c r="N55" s="4"/>
    </row>
    <row r="56" spans="1:14">
      <c r="A56" s="4">
        <v>411003</v>
      </c>
      <c r="B56" s="4" t="s">
        <v>708</v>
      </c>
      <c r="C56" s="5" t="s">
        <v>484</v>
      </c>
      <c r="D56" s="5" t="s">
        <v>135</v>
      </c>
      <c r="E56" s="5" t="str">
        <f t="shared" si="3"/>
        <v>Repair &amp; Maintenance Service Revenue</v>
      </c>
      <c r="F56" s="5" t="s">
        <v>490</v>
      </c>
      <c r="G56" s="6">
        <v>0</v>
      </c>
      <c r="H56" s="6">
        <v>0</v>
      </c>
      <c r="I56" s="7">
        <v>46173</v>
      </c>
      <c r="J56" s="4" t="s">
        <v>19</v>
      </c>
      <c r="K56" s="4"/>
      <c r="L56" s="4"/>
      <c r="M56" s="4"/>
      <c r="N56" s="4"/>
    </row>
    <row r="57" spans="1:14">
      <c r="A57" s="4">
        <v>411004</v>
      </c>
      <c r="B57" s="4" t="s">
        <v>709</v>
      </c>
      <c r="C57" s="5" t="s">
        <v>484</v>
      </c>
      <c r="D57" s="5" t="s">
        <v>137</v>
      </c>
      <c r="E57" s="5" t="str">
        <f t="shared" si="3"/>
        <v>Personal / Membership Service Revenue</v>
      </c>
      <c r="F57" s="5" t="s">
        <v>490</v>
      </c>
      <c r="G57" s="6">
        <v>0</v>
      </c>
      <c r="H57" s="6">
        <v>0</v>
      </c>
      <c r="I57" s="7">
        <v>46173</v>
      </c>
      <c r="J57" s="4" t="s">
        <v>19</v>
      </c>
      <c r="K57" s="4"/>
      <c r="L57" s="4"/>
      <c r="M57" s="4"/>
      <c r="N57" s="4"/>
    </row>
    <row r="58" spans="1:14">
      <c r="A58" s="4">
        <v>411005</v>
      </c>
      <c r="B58" s="4" t="s">
        <v>710</v>
      </c>
      <c r="C58" s="5" t="s">
        <v>484</v>
      </c>
      <c r="D58" s="5" t="s">
        <v>139</v>
      </c>
      <c r="E58" s="5" t="str">
        <f t="shared" si="3"/>
        <v>Unbilled Revenue</v>
      </c>
      <c r="F58" s="5" t="s">
        <v>490</v>
      </c>
      <c r="G58" s="6">
        <v>0</v>
      </c>
      <c r="H58" s="6">
        <v>13844568.574799996</v>
      </c>
      <c r="I58" s="7">
        <v>46173</v>
      </c>
      <c r="J58" s="4" t="s">
        <v>19</v>
      </c>
      <c r="K58" s="4"/>
      <c r="L58" s="4"/>
      <c r="M58" s="4"/>
      <c r="N58" s="4"/>
    </row>
    <row r="59" spans="1:14">
      <c r="A59" s="4">
        <v>411006</v>
      </c>
      <c r="B59" s="4" t="s">
        <v>711</v>
      </c>
      <c r="C59" s="5" t="s">
        <v>484</v>
      </c>
      <c r="D59" s="5" t="s">
        <v>141</v>
      </c>
      <c r="E59" s="5" t="str">
        <f t="shared" si="3"/>
        <v>Other Operating Revenue</v>
      </c>
      <c r="F59" s="5" t="s">
        <v>490</v>
      </c>
      <c r="G59" s="6">
        <v>0</v>
      </c>
      <c r="H59" s="6">
        <v>1846568.2000000002</v>
      </c>
      <c r="I59" s="7">
        <v>46173</v>
      </c>
      <c r="J59" s="4" t="s">
        <v>19</v>
      </c>
      <c r="K59" s="4"/>
      <c r="L59" s="4"/>
      <c r="M59" s="4"/>
      <c r="N59" s="4"/>
    </row>
    <row r="60" spans="1:14">
      <c r="A60" s="4">
        <v>411007</v>
      </c>
      <c r="B60" s="4" t="s">
        <v>712</v>
      </c>
      <c r="C60" s="5" t="str">
        <f t="shared" si="2"/>
        <v>REVENUE</v>
      </c>
      <c r="D60" s="5" t="s">
        <v>143</v>
      </c>
      <c r="E60" s="5" t="str">
        <f t="shared" si="3"/>
        <v>Sales Discounts</v>
      </c>
      <c r="F60" s="5" t="s">
        <v>490</v>
      </c>
      <c r="G60" s="6">
        <v>0</v>
      </c>
      <c r="H60" s="6">
        <v>0</v>
      </c>
      <c r="I60" s="7">
        <v>46173</v>
      </c>
      <c r="J60" s="4" t="s">
        <v>19</v>
      </c>
      <c r="K60" s="4"/>
      <c r="L60" s="4"/>
      <c r="M60" s="4"/>
      <c r="N60" s="4"/>
    </row>
    <row r="61" spans="1:14">
      <c r="A61" s="4">
        <v>411008</v>
      </c>
      <c r="B61" s="4" t="s">
        <v>713</v>
      </c>
      <c r="C61" s="5" t="str">
        <f t="shared" si="2"/>
        <v>REVENUE</v>
      </c>
      <c r="D61" s="5" t="s">
        <v>145</v>
      </c>
      <c r="E61" s="5" t="str">
        <f t="shared" si="3"/>
        <v>Sales Returns</v>
      </c>
      <c r="F61" s="5" t="s">
        <v>490</v>
      </c>
      <c r="G61" s="6">
        <v>0</v>
      </c>
      <c r="H61" s="6">
        <v>5333514.6840000013</v>
      </c>
      <c r="I61" s="7">
        <v>46173</v>
      </c>
      <c r="J61" s="4" t="s">
        <v>19</v>
      </c>
      <c r="K61" s="4"/>
      <c r="L61" s="4"/>
      <c r="M61" s="4"/>
      <c r="N61" s="4"/>
    </row>
    <row r="62" spans="1:14" ht="28.5">
      <c r="A62" s="4">
        <v>431001</v>
      </c>
      <c r="B62" s="4" t="s">
        <v>714</v>
      </c>
      <c r="C62" s="5" t="str">
        <f t="shared" si="2"/>
        <v/>
      </c>
      <c r="D62" s="5" t="s">
        <v>750</v>
      </c>
      <c r="E62" s="5" t="str">
        <f t="shared" si="3"/>
        <v/>
      </c>
      <c r="F62" s="5" t="s">
        <v>635</v>
      </c>
      <c r="G62" s="6">
        <v>0</v>
      </c>
      <c r="H62" s="6">
        <v>336318</v>
      </c>
      <c r="I62" s="7">
        <v>46173</v>
      </c>
      <c r="J62" s="4" t="s">
        <v>19</v>
      </c>
      <c r="K62" s="4"/>
      <c r="L62" s="4"/>
      <c r="M62" s="4"/>
      <c r="N62" s="4"/>
    </row>
    <row r="63" spans="1:14" ht="28.5">
      <c r="A63" s="4">
        <v>432001</v>
      </c>
      <c r="B63" s="4" t="s">
        <v>715</v>
      </c>
      <c r="C63" s="5" t="str">
        <f t="shared" si="2"/>
        <v/>
      </c>
      <c r="D63" s="5" t="s">
        <v>751</v>
      </c>
      <c r="E63" s="5" t="str">
        <f t="shared" si="3"/>
        <v/>
      </c>
      <c r="F63" s="5" t="s">
        <v>635</v>
      </c>
      <c r="G63" s="6">
        <v>0</v>
      </c>
      <c r="H63" s="6">
        <v>0</v>
      </c>
      <c r="I63" s="7">
        <v>46173</v>
      </c>
      <c r="J63" s="4" t="s">
        <v>19</v>
      </c>
      <c r="K63" s="4"/>
      <c r="L63" s="4"/>
      <c r="M63" s="4"/>
      <c r="N63" s="4"/>
    </row>
    <row r="64" spans="1:14" ht="28.5">
      <c r="A64" s="4">
        <v>481001</v>
      </c>
      <c r="B64" s="4" t="s">
        <v>716</v>
      </c>
      <c r="C64" s="5" t="str">
        <f t="shared" si="2"/>
        <v/>
      </c>
      <c r="D64" s="5" t="s">
        <v>752</v>
      </c>
      <c r="E64" s="5" t="str">
        <f t="shared" si="3"/>
        <v/>
      </c>
      <c r="F64" s="5" t="s">
        <v>500</v>
      </c>
      <c r="G64" s="6">
        <v>0</v>
      </c>
      <c r="H64" s="6">
        <v>0</v>
      </c>
      <c r="I64" s="7">
        <v>46173</v>
      </c>
      <c r="J64" s="4" t="s">
        <v>19</v>
      </c>
      <c r="K64" s="4"/>
      <c r="L64" s="4"/>
      <c r="M64" s="4"/>
      <c r="N64" s="4"/>
    </row>
    <row r="65" spans="1:14">
      <c r="A65" s="4">
        <v>499999</v>
      </c>
      <c r="B65" s="4" t="s">
        <v>717</v>
      </c>
      <c r="C65" s="5" t="str">
        <f t="shared" si="2"/>
        <v/>
      </c>
      <c r="D65" s="5" t="s">
        <v>753</v>
      </c>
      <c r="E65" s="5" t="str">
        <f t="shared" si="3"/>
        <v/>
      </c>
      <c r="F65" s="5" t="s">
        <v>637</v>
      </c>
      <c r="G65" s="6">
        <v>0</v>
      </c>
      <c r="H65" s="6">
        <v>0</v>
      </c>
      <c r="I65" s="7">
        <v>46173</v>
      </c>
      <c r="J65" s="4" t="s">
        <v>19</v>
      </c>
      <c r="K65" s="4"/>
      <c r="L65" s="4"/>
      <c r="M65" s="4"/>
      <c r="N65" s="4"/>
    </row>
    <row r="66" spans="1:14">
      <c r="A66" s="4">
        <v>411009</v>
      </c>
      <c r="B66" s="4" t="s">
        <v>718</v>
      </c>
      <c r="C66" s="5" t="str">
        <f t="shared" si="2"/>
        <v/>
      </c>
      <c r="D66" s="5" t="s">
        <v>754</v>
      </c>
      <c r="E66" s="5" t="str">
        <f t="shared" si="3"/>
        <v/>
      </c>
      <c r="F66" s="5" t="s">
        <v>490</v>
      </c>
      <c r="G66" s="6">
        <v>0</v>
      </c>
      <c r="H66" s="6">
        <v>3439311.46</v>
      </c>
      <c r="I66" s="7">
        <v>46173</v>
      </c>
      <c r="J66" s="4" t="s">
        <v>19</v>
      </c>
      <c r="K66" s="4"/>
      <c r="L66" s="4"/>
      <c r="M66" s="4"/>
      <c r="N66" s="4"/>
    </row>
    <row r="67" spans="1:14" ht="28.5">
      <c r="A67" s="4">
        <v>511001</v>
      </c>
      <c r="B67" s="4" t="s">
        <v>719</v>
      </c>
      <c r="C67" s="5" t="s">
        <v>507</v>
      </c>
      <c r="D67" s="5" t="s">
        <v>147</v>
      </c>
      <c r="E67" s="5" t="str">
        <f t="shared" si="3"/>
        <v>Purchases / Merchandise Cost</v>
      </c>
      <c r="F67" s="5" t="s">
        <v>642</v>
      </c>
      <c r="G67" s="6">
        <v>4166700</v>
      </c>
      <c r="H67" s="6">
        <v>0</v>
      </c>
      <c r="I67" s="7">
        <v>46173</v>
      </c>
      <c r="J67" s="4" t="s">
        <v>19</v>
      </c>
      <c r="K67" s="4"/>
      <c r="L67" s="4"/>
      <c r="M67" s="4"/>
      <c r="N67" s="4"/>
    </row>
    <row r="68" spans="1:14" ht="28.5">
      <c r="A68" s="4">
        <v>521001</v>
      </c>
      <c r="B68" s="4" t="s">
        <v>720</v>
      </c>
      <c r="C68" s="5" t="str">
        <f t="shared" si="2"/>
        <v>COST OF SALES</v>
      </c>
      <c r="D68" s="5" t="s">
        <v>149</v>
      </c>
      <c r="E68" s="5" t="str">
        <f t="shared" si="3"/>
        <v>Production Cost</v>
      </c>
      <c r="F68" s="5" t="s">
        <v>642</v>
      </c>
      <c r="G68" s="6">
        <v>0</v>
      </c>
      <c r="H68" s="6">
        <v>0</v>
      </c>
      <c r="I68" s="7">
        <v>46173</v>
      </c>
      <c r="J68" s="4" t="s">
        <v>19</v>
      </c>
      <c r="K68" s="4"/>
      <c r="L68" s="4"/>
      <c r="M68" s="4"/>
      <c r="N68" s="4"/>
    </row>
    <row r="69" spans="1:14">
      <c r="A69" s="4">
        <v>701001</v>
      </c>
      <c r="B69" s="4" t="s">
        <v>721</v>
      </c>
      <c r="C69" s="5" t="s">
        <v>530</v>
      </c>
      <c r="D69" s="5" t="s">
        <v>161</v>
      </c>
      <c r="E69" s="5" t="str">
        <f t="shared" ref="E69:E95" si="4">IFERROR(INDEX(ZCOA_NAME,MATCH(D69&amp;"",ZCOA_CODE,0))&amp;"","")</f>
        <v>Amortisation</v>
      </c>
      <c r="F69" s="5" t="s">
        <v>602</v>
      </c>
      <c r="G69" s="6">
        <v>94339972</v>
      </c>
      <c r="H69" s="6">
        <v>0</v>
      </c>
      <c r="I69" s="7">
        <v>46173</v>
      </c>
      <c r="J69" s="4" t="s">
        <v>19</v>
      </c>
      <c r="K69" s="4"/>
      <c r="L69" s="4"/>
      <c r="M69" s="4"/>
      <c r="N69" s="4"/>
    </row>
    <row r="70" spans="1:14" ht="28.5">
      <c r="A70" s="4">
        <v>701002</v>
      </c>
      <c r="B70" s="4" t="s">
        <v>722</v>
      </c>
      <c r="C70" s="5" t="s">
        <v>530</v>
      </c>
      <c r="D70" s="5" t="s">
        <v>163</v>
      </c>
      <c r="E70" s="5" t="str">
        <f t="shared" si="4"/>
        <v>Bank &amp; Payment Charges</v>
      </c>
      <c r="F70" s="5" t="s">
        <v>557</v>
      </c>
      <c r="G70" s="6">
        <v>2226720</v>
      </c>
      <c r="H70" s="6">
        <v>0</v>
      </c>
      <c r="I70" s="7">
        <v>46173</v>
      </c>
      <c r="J70" s="4" t="s">
        <v>19</v>
      </c>
      <c r="K70" s="4"/>
      <c r="L70" s="4"/>
      <c r="M70" s="4"/>
      <c r="N70" s="4"/>
    </row>
    <row r="71" spans="1:14" ht="28.5">
      <c r="A71" s="4">
        <v>701003</v>
      </c>
      <c r="B71" s="4" t="s">
        <v>723</v>
      </c>
      <c r="C71" s="5" t="s">
        <v>530</v>
      </c>
      <c r="D71" s="5" t="s">
        <v>165</v>
      </c>
      <c r="E71" s="5" t="str">
        <f t="shared" si="4"/>
        <v>Bonus &amp; Overtime</v>
      </c>
      <c r="F71" s="5" t="s">
        <v>557</v>
      </c>
      <c r="G71" s="6">
        <v>4860461</v>
      </c>
      <c r="H71" s="6">
        <v>0</v>
      </c>
      <c r="I71" s="7">
        <v>46173</v>
      </c>
      <c r="J71" s="4" t="s">
        <v>19</v>
      </c>
      <c r="K71" s="4"/>
      <c r="L71" s="4"/>
      <c r="M71" s="4"/>
      <c r="N71" s="4"/>
    </row>
    <row r="72" spans="1:14" ht="28.5">
      <c r="A72" s="4">
        <v>702001</v>
      </c>
      <c r="B72" s="4" t="s">
        <v>724</v>
      </c>
      <c r="C72" s="5" t="s">
        <v>530</v>
      </c>
      <c r="D72" s="5" t="s">
        <v>167</v>
      </c>
      <c r="E72" s="5" t="str">
        <f t="shared" si="4"/>
        <v>Cleaning &amp; Security</v>
      </c>
      <c r="F72" s="5" t="s">
        <v>557</v>
      </c>
      <c r="G72" s="6">
        <v>0</v>
      </c>
      <c r="H72" s="6">
        <v>0</v>
      </c>
      <c r="I72" s="7">
        <v>46173</v>
      </c>
      <c r="J72" s="4" t="s">
        <v>19</v>
      </c>
      <c r="K72" s="4"/>
      <c r="L72" s="4"/>
      <c r="M72" s="4"/>
      <c r="N72" s="4"/>
    </row>
    <row r="73" spans="1:14" ht="28.5">
      <c r="A73" s="4">
        <v>703001</v>
      </c>
      <c r="B73" s="4" t="s">
        <v>725</v>
      </c>
      <c r="C73" s="5" t="s">
        <v>530</v>
      </c>
      <c r="D73" s="5" t="s">
        <v>169</v>
      </c>
      <c r="E73" s="5" t="str">
        <f t="shared" si="4"/>
        <v>Communication &amp; Internet</v>
      </c>
      <c r="F73" s="5" t="s">
        <v>614</v>
      </c>
      <c r="G73" s="6">
        <v>0</v>
      </c>
      <c r="H73" s="6">
        <v>0</v>
      </c>
      <c r="I73" s="7">
        <v>46173</v>
      </c>
      <c r="J73" s="4" t="s">
        <v>19</v>
      </c>
      <c r="K73" s="4"/>
      <c r="L73" s="4"/>
      <c r="M73" s="4"/>
      <c r="N73" s="4"/>
    </row>
    <row r="74" spans="1:14" ht="28.5">
      <c r="A74" s="4">
        <v>704001</v>
      </c>
      <c r="B74" s="4" t="s">
        <v>726</v>
      </c>
      <c r="C74" s="5" t="s">
        <v>530</v>
      </c>
      <c r="D74" s="5" t="s">
        <v>171</v>
      </c>
      <c r="E74" s="5" t="str">
        <f t="shared" si="4"/>
        <v>Credit Loss / Bad Debt</v>
      </c>
      <c r="F74" s="5" t="s">
        <v>575</v>
      </c>
      <c r="G74" s="6">
        <v>0</v>
      </c>
      <c r="H74" s="6">
        <v>0</v>
      </c>
      <c r="I74" s="7">
        <v>46173</v>
      </c>
      <c r="J74" s="4" t="s">
        <v>19</v>
      </c>
      <c r="K74" s="4"/>
      <c r="L74" s="4"/>
      <c r="M74" s="4"/>
      <c r="N74" s="4"/>
    </row>
    <row r="75" spans="1:14" ht="28.5">
      <c r="A75" s="4">
        <v>705001</v>
      </c>
      <c r="B75" s="4" t="s">
        <v>727</v>
      </c>
      <c r="C75" s="5" t="str">
        <f t="shared" ref="C69:C95" si="5">IFERROR(INDEX(ZCOA_CLASS,MATCH(D75&amp;"",ZCOA_CODE,0))&amp;"","")</f>
        <v>EXPENSE</v>
      </c>
      <c r="D75" s="5" t="s">
        <v>173</v>
      </c>
      <c r="E75" s="5" t="str">
        <f t="shared" si="4"/>
        <v>Depreciation</v>
      </c>
      <c r="F75" s="5" t="s">
        <v>572</v>
      </c>
      <c r="G75" s="6">
        <v>0</v>
      </c>
      <c r="H75" s="6">
        <v>0</v>
      </c>
      <c r="I75" s="7">
        <v>46173</v>
      </c>
      <c r="J75" s="4" t="s">
        <v>19</v>
      </c>
      <c r="K75" s="4"/>
      <c r="L75" s="4"/>
      <c r="M75" s="4"/>
      <c r="N75" s="4"/>
    </row>
    <row r="76" spans="1:14" ht="28.5">
      <c r="A76" s="4">
        <v>706001</v>
      </c>
      <c r="B76" s="4" t="s">
        <v>728</v>
      </c>
      <c r="C76" s="5" t="str">
        <f t="shared" si="5"/>
        <v>EXPENSE</v>
      </c>
      <c r="D76" s="5" t="s">
        <v>175</v>
      </c>
      <c r="E76" s="5" t="str">
        <f t="shared" si="4"/>
        <v>Donation &amp; Community</v>
      </c>
      <c r="F76" s="5" t="s">
        <v>614</v>
      </c>
      <c r="G76" s="6">
        <v>0</v>
      </c>
      <c r="H76" s="6">
        <v>0</v>
      </c>
      <c r="I76" s="7">
        <v>46173</v>
      </c>
      <c r="J76" s="4" t="s">
        <v>19</v>
      </c>
      <c r="K76" s="4"/>
      <c r="L76" s="4"/>
      <c r="M76" s="4"/>
      <c r="N76" s="4"/>
    </row>
    <row r="77" spans="1:14">
      <c r="A77" s="4">
        <v>707001</v>
      </c>
      <c r="B77" s="4" t="s">
        <v>729</v>
      </c>
      <c r="C77" s="5" t="str">
        <f t="shared" si="5"/>
        <v>EXPENSE</v>
      </c>
      <c r="D77" s="5" t="s">
        <v>177</v>
      </c>
      <c r="E77" s="5" t="str">
        <f t="shared" si="4"/>
        <v>Employee Benefits</v>
      </c>
      <c r="F77" s="5" t="s">
        <v>611</v>
      </c>
      <c r="G77" s="6">
        <v>342058</v>
      </c>
      <c r="H77" s="6">
        <v>0</v>
      </c>
      <c r="I77" s="7">
        <v>46173</v>
      </c>
      <c r="J77" s="4" t="s">
        <v>19</v>
      </c>
      <c r="K77" s="4"/>
      <c r="L77" s="4"/>
      <c r="M77" s="4"/>
      <c r="N77" s="4"/>
    </row>
    <row r="78" spans="1:14">
      <c r="A78" s="4">
        <v>708001</v>
      </c>
      <c r="B78" s="4" t="s">
        <v>730</v>
      </c>
      <c r="C78" s="5" t="str">
        <f t="shared" si="5"/>
        <v>EXPENSE</v>
      </c>
      <c r="D78" s="5" t="s">
        <v>179</v>
      </c>
      <c r="E78" s="5" t="str">
        <f t="shared" si="4"/>
        <v>Freight &amp; Courier</v>
      </c>
      <c r="F78" s="5" t="s">
        <v>569</v>
      </c>
      <c r="G78" s="6">
        <v>1542622.5</v>
      </c>
      <c r="H78" s="6">
        <v>0</v>
      </c>
      <c r="I78" s="7">
        <v>46173</v>
      </c>
      <c r="J78" s="4" t="s">
        <v>19</v>
      </c>
      <c r="K78" s="4"/>
      <c r="L78" s="4"/>
      <c r="M78" s="4"/>
      <c r="N78" s="4"/>
    </row>
    <row r="79" spans="1:14" ht="28.5">
      <c r="A79" s="4">
        <v>709001</v>
      </c>
      <c r="B79" s="4" t="s">
        <v>731</v>
      </c>
      <c r="C79" s="5" t="str">
        <f t="shared" si="5"/>
        <v>EXPENSE</v>
      </c>
      <c r="D79" s="5" t="s">
        <v>181</v>
      </c>
      <c r="E79" s="5" t="str">
        <f t="shared" si="4"/>
        <v>Insurance</v>
      </c>
      <c r="F79" s="5" t="s">
        <v>590</v>
      </c>
      <c r="G79" s="6">
        <v>0</v>
      </c>
      <c r="H79" s="6">
        <v>0</v>
      </c>
      <c r="I79" s="7">
        <v>46173</v>
      </c>
      <c r="J79" s="4" t="s">
        <v>19</v>
      </c>
      <c r="K79" s="4"/>
      <c r="L79" s="4"/>
      <c r="M79" s="4"/>
      <c r="N79" s="4"/>
    </row>
    <row r="80" spans="1:14" ht="28.5">
      <c r="A80" s="4">
        <v>710001</v>
      </c>
      <c r="B80" s="4" t="s">
        <v>732</v>
      </c>
      <c r="C80" s="5" t="str">
        <f t="shared" si="5"/>
        <v>EXPENSE</v>
      </c>
      <c r="D80" s="5" t="s">
        <v>183</v>
      </c>
      <c r="E80" s="5" t="str">
        <f t="shared" si="4"/>
        <v>Laundry &amp; Linen</v>
      </c>
      <c r="F80" s="5" t="s">
        <v>596</v>
      </c>
      <c r="G80" s="6">
        <v>0</v>
      </c>
      <c r="H80" s="6">
        <v>0</v>
      </c>
      <c r="I80" s="7">
        <v>46173</v>
      </c>
      <c r="J80" s="4" t="s">
        <v>19</v>
      </c>
      <c r="K80" s="4"/>
      <c r="L80" s="4"/>
      <c r="M80" s="4"/>
      <c r="N80" s="4"/>
    </row>
    <row r="81" spans="1:14">
      <c r="A81" s="4">
        <v>712001</v>
      </c>
      <c r="B81" s="4" t="s">
        <v>733</v>
      </c>
      <c r="C81" s="5" t="str">
        <f t="shared" si="5"/>
        <v>EXPENSE</v>
      </c>
      <c r="D81" s="5" t="s">
        <v>185</v>
      </c>
      <c r="E81" s="5" t="str">
        <f t="shared" si="4"/>
        <v>Marketing &amp; Promotion</v>
      </c>
      <c r="F81" s="5" t="s">
        <v>617</v>
      </c>
      <c r="G81" s="6">
        <v>0</v>
      </c>
      <c r="H81" s="6">
        <v>0</v>
      </c>
      <c r="I81" s="7">
        <v>46173</v>
      </c>
      <c r="J81" s="4" t="s">
        <v>19</v>
      </c>
      <c r="K81" s="4"/>
      <c r="L81" s="4"/>
      <c r="M81" s="4"/>
      <c r="N81" s="4"/>
    </row>
    <row r="82" spans="1:14" ht="28.5">
      <c r="A82" s="4">
        <v>713001</v>
      </c>
      <c r="B82" s="4" t="s">
        <v>734</v>
      </c>
      <c r="C82" s="5" t="str">
        <f t="shared" si="5"/>
        <v>EXPENSE</v>
      </c>
      <c r="D82" s="5" t="s">
        <v>187</v>
      </c>
      <c r="E82" s="5" t="str">
        <f t="shared" si="4"/>
        <v>Meals &amp; Entertainment</v>
      </c>
      <c r="F82" s="5" t="s">
        <v>578</v>
      </c>
      <c r="G82" s="6">
        <v>0</v>
      </c>
      <c r="H82" s="6">
        <v>0</v>
      </c>
      <c r="I82" s="7">
        <v>46173</v>
      </c>
      <c r="J82" s="4" t="s">
        <v>19</v>
      </c>
      <c r="K82" s="4"/>
      <c r="L82" s="4"/>
      <c r="M82" s="4"/>
      <c r="N82" s="4"/>
    </row>
    <row r="83" spans="1:14">
      <c r="A83" s="4">
        <v>718001</v>
      </c>
      <c r="B83" s="4" t="s">
        <v>735</v>
      </c>
      <c r="C83" s="5" t="str">
        <f t="shared" si="5"/>
        <v>EXPENSE</v>
      </c>
      <c r="D83" s="5" t="s">
        <v>189</v>
      </c>
      <c r="E83" s="5" t="str">
        <f t="shared" si="4"/>
        <v>Office &amp; Administration</v>
      </c>
      <c r="F83" s="5" t="s">
        <v>551</v>
      </c>
      <c r="G83" s="6">
        <v>2171502</v>
      </c>
      <c r="H83" s="6">
        <v>0</v>
      </c>
      <c r="I83" s="7">
        <v>46173</v>
      </c>
      <c r="J83" s="4" t="s">
        <v>19</v>
      </c>
      <c r="K83" s="4"/>
      <c r="L83" s="4"/>
      <c r="M83" s="4"/>
      <c r="N83" s="4"/>
    </row>
    <row r="84" spans="1:14" ht="28.5">
      <c r="A84" s="4">
        <v>722001</v>
      </c>
      <c r="B84" s="4" t="s">
        <v>736</v>
      </c>
      <c r="C84" s="5" t="str">
        <f t="shared" si="5"/>
        <v>EXPENSE</v>
      </c>
      <c r="D84" s="5" t="s">
        <v>191</v>
      </c>
      <c r="E84" s="5" t="str">
        <f t="shared" si="4"/>
        <v>Operating Supplies</v>
      </c>
      <c r="F84" s="5" t="s">
        <v>545</v>
      </c>
      <c r="G84" s="6">
        <v>240618</v>
      </c>
      <c r="H84" s="6">
        <v>0</v>
      </c>
      <c r="I84" s="7">
        <v>46173</v>
      </c>
      <c r="J84" s="4" t="s">
        <v>19</v>
      </c>
      <c r="K84" s="4"/>
      <c r="L84" s="4"/>
      <c r="M84" s="4"/>
      <c r="N84" s="4"/>
    </row>
    <row r="85" spans="1:14">
      <c r="A85" s="4">
        <v>724001</v>
      </c>
      <c r="B85" s="4" t="s">
        <v>737</v>
      </c>
      <c r="C85" s="5" t="str">
        <f t="shared" si="5"/>
        <v>EXPENSE</v>
      </c>
      <c r="D85" s="5" t="s">
        <v>193</v>
      </c>
      <c r="E85" s="5" t="str">
        <f t="shared" si="4"/>
        <v>Other Operating Expense</v>
      </c>
      <c r="F85" s="5" t="s">
        <v>581</v>
      </c>
      <c r="G85" s="6">
        <v>2821950</v>
      </c>
      <c r="H85" s="6">
        <v>0</v>
      </c>
      <c r="I85" s="7">
        <v>46173</v>
      </c>
      <c r="J85" s="4" t="s">
        <v>19</v>
      </c>
      <c r="K85" s="4"/>
      <c r="L85" s="4"/>
      <c r="M85" s="4"/>
      <c r="N85" s="4"/>
    </row>
    <row r="86" spans="1:14">
      <c r="A86" s="4">
        <v>726001</v>
      </c>
      <c r="B86" s="4" t="s">
        <v>738</v>
      </c>
      <c r="C86" s="5" t="str">
        <f t="shared" si="5"/>
        <v>EXPENSE</v>
      </c>
      <c r="D86" s="5" t="s">
        <v>195</v>
      </c>
      <c r="E86" s="5" t="str">
        <f t="shared" si="4"/>
        <v>Penalties &amp; Fines</v>
      </c>
      <c r="F86" s="5" t="s">
        <v>554</v>
      </c>
      <c r="G86" s="6">
        <v>0</v>
      </c>
      <c r="H86" s="6">
        <v>0</v>
      </c>
      <c r="I86" s="7">
        <v>46173</v>
      </c>
      <c r="J86" s="4" t="s">
        <v>19</v>
      </c>
      <c r="K86" s="4"/>
      <c r="L86" s="4"/>
      <c r="M86" s="4"/>
      <c r="N86" s="4"/>
    </row>
    <row r="87" spans="1:14" ht="28.5">
      <c r="A87" s="4">
        <v>728001</v>
      </c>
      <c r="B87" s="4" t="s">
        <v>739</v>
      </c>
      <c r="C87" s="5" t="str">
        <f t="shared" si="5"/>
        <v>EXPENSE</v>
      </c>
      <c r="D87" s="5" t="s">
        <v>197</v>
      </c>
      <c r="E87" s="5" t="str">
        <f t="shared" si="4"/>
        <v>Pre-Operating Expense</v>
      </c>
      <c r="F87" s="5" t="s">
        <v>590</v>
      </c>
      <c r="G87" s="6">
        <v>5102041</v>
      </c>
      <c r="H87" s="6">
        <v>0</v>
      </c>
      <c r="I87" s="7">
        <v>46173</v>
      </c>
      <c r="J87" s="4" t="s">
        <v>19</v>
      </c>
      <c r="K87" s="4"/>
      <c r="L87" s="4"/>
      <c r="M87" s="4"/>
      <c r="N87" s="4"/>
    </row>
    <row r="88" spans="1:14">
      <c r="A88" s="4">
        <v>736001</v>
      </c>
      <c r="B88" s="4" t="s">
        <v>740</v>
      </c>
      <c r="C88" s="5" t="str">
        <f t="shared" si="5"/>
        <v>EXPENSE</v>
      </c>
      <c r="D88" s="5" t="s">
        <v>199</v>
      </c>
      <c r="E88" s="5" t="str">
        <f t="shared" si="4"/>
        <v>Professional Fees</v>
      </c>
      <c r="F88" s="5" t="s">
        <v>608</v>
      </c>
      <c r="G88" s="6">
        <v>21853950</v>
      </c>
      <c r="H88" s="6">
        <v>0</v>
      </c>
      <c r="I88" s="7">
        <v>46173</v>
      </c>
      <c r="J88" s="4" t="s">
        <v>19</v>
      </c>
      <c r="K88" s="4"/>
      <c r="L88" s="4"/>
      <c r="M88" s="4"/>
      <c r="N88" s="4"/>
    </row>
    <row r="89" spans="1:14">
      <c r="A89" s="4">
        <v>738001</v>
      </c>
      <c r="B89" s="4" t="s">
        <v>741</v>
      </c>
      <c r="C89" s="5" t="str">
        <f t="shared" si="5"/>
        <v>EXPENSE</v>
      </c>
      <c r="D89" s="5" t="s">
        <v>201</v>
      </c>
      <c r="E89" s="5" t="str">
        <f t="shared" si="4"/>
        <v>Rent Expense</v>
      </c>
      <c r="F89" s="5" t="s">
        <v>593</v>
      </c>
      <c r="G89" s="6">
        <v>21027370.833333332</v>
      </c>
      <c r="H89" s="6">
        <v>0</v>
      </c>
      <c r="I89" s="7">
        <v>46173</v>
      </c>
      <c r="J89" s="4" t="s">
        <v>19</v>
      </c>
      <c r="K89" s="4"/>
      <c r="L89" s="4"/>
      <c r="M89" s="4"/>
      <c r="N89" s="4"/>
    </row>
    <row r="90" spans="1:14" ht="28.5">
      <c r="A90" s="4">
        <v>740001</v>
      </c>
      <c r="B90" s="4" t="s">
        <v>742</v>
      </c>
      <c r="C90" s="5" t="str">
        <f t="shared" si="5"/>
        <v>EXPENSE</v>
      </c>
      <c r="D90" s="5" t="s">
        <v>203</v>
      </c>
      <c r="E90" s="5" t="str">
        <f t="shared" si="4"/>
        <v>Repair &amp; Maintenance</v>
      </c>
      <c r="F90" s="5" t="s">
        <v>536</v>
      </c>
      <c r="G90" s="6">
        <v>117500</v>
      </c>
      <c r="H90" s="6">
        <v>0</v>
      </c>
      <c r="I90" s="7">
        <v>46173</v>
      </c>
      <c r="J90" s="4" t="s">
        <v>19</v>
      </c>
      <c r="K90" s="4"/>
      <c r="L90" s="4"/>
      <c r="M90" s="4"/>
      <c r="N90" s="4"/>
    </row>
    <row r="91" spans="1:14">
      <c r="A91" s="4">
        <v>752001</v>
      </c>
      <c r="B91" s="4" t="s">
        <v>743</v>
      </c>
      <c r="C91" s="5" t="str">
        <f t="shared" si="5"/>
        <v>EXPENSE</v>
      </c>
      <c r="D91" s="5" t="s">
        <v>205</v>
      </c>
      <c r="E91" s="5" t="str">
        <f t="shared" si="4"/>
        <v>Research &amp; Development</v>
      </c>
      <c r="F91" s="5" t="s">
        <v>563</v>
      </c>
      <c r="G91" s="6">
        <v>0</v>
      </c>
      <c r="H91" s="6">
        <v>0</v>
      </c>
      <c r="I91" s="7">
        <v>46173</v>
      </c>
      <c r="J91" s="4" t="s">
        <v>19</v>
      </c>
      <c r="K91" s="4"/>
      <c r="L91" s="4"/>
      <c r="M91" s="4"/>
      <c r="N91" s="4"/>
    </row>
    <row r="92" spans="1:14" ht="28.5">
      <c r="A92" s="4">
        <v>754001</v>
      </c>
      <c r="B92" s="4" t="s">
        <v>744</v>
      </c>
      <c r="C92" s="5" t="str">
        <f t="shared" si="5"/>
        <v>EXPENSE</v>
      </c>
      <c r="D92" s="5" t="s">
        <v>207</v>
      </c>
      <c r="E92" s="5" t="str">
        <f t="shared" si="4"/>
        <v>Salaries &amp; Wages</v>
      </c>
      <c r="F92" s="5" t="s">
        <v>542</v>
      </c>
      <c r="G92" s="6">
        <v>0</v>
      </c>
      <c r="H92" s="6">
        <v>0</v>
      </c>
      <c r="I92" s="7">
        <v>46173</v>
      </c>
      <c r="J92" s="4" t="s">
        <v>19</v>
      </c>
      <c r="K92" s="4"/>
      <c r="L92" s="4"/>
      <c r="M92" s="4"/>
      <c r="N92" s="4"/>
    </row>
    <row r="93" spans="1:14">
      <c r="A93" s="4">
        <v>821001</v>
      </c>
      <c r="B93" s="4" t="s">
        <v>745</v>
      </c>
      <c r="C93" s="5" t="str">
        <f t="shared" si="5"/>
        <v>EXPENSE</v>
      </c>
      <c r="D93" s="5" t="s">
        <v>209</v>
      </c>
      <c r="E93" s="5" t="str">
        <f t="shared" si="4"/>
        <v>Severance / Post-Employment Cost</v>
      </c>
      <c r="F93" s="5" t="s">
        <v>655</v>
      </c>
      <c r="G93" s="6">
        <v>33514378</v>
      </c>
      <c r="H93" s="6">
        <v>0</v>
      </c>
      <c r="I93" s="7">
        <v>46173</v>
      </c>
      <c r="J93" s="4" t="s">
        <v>19</v>
      </c>
      <c r="K93" s="4"/>
      <c r="L93" s="4"/>
      <c r="M93" s="4"/>
      <c r="N93" s="4"/>
    </row>
    <row r="94" spans="1:14" ht="28.5">
      <c r="A94" s="4">
        <v>821002</v>
      </c>
      <c r="B94" s="4" t="s">
        <v>746</v>
      </c>
      <c r="C94" s="5" t="str">
        <f t="shared" si="5"/>
        <v>EXPENSE</v>
      </c>
      <c r="D94" s="5" t="s">
        <v>211</v>
      </c>
      <c r="E94" s="5" t="str">
        <f>IFERROR(INDEX(ZCOA_NAME,MATCH(D94&amp;"",ZCOA_CODE,0))&amp;"","")</f>
        <v>Taxes &amp; Licenses</v>
      </c>
      <c r="F94" s="5" t="s">
        <v>655</v>
      </c>
      <c r="G94" s="6">
        <v>67264</v>
      </c>
      <c r="H94" s="6">
        <v>0</v>
      </c>
      <c r="I94" s="7">
        <v>46173</v>
      </c>
      <c r="J94" s="4" t="s">
        <v>19</v>
      </c>
      <c r="K94" s="4"/>
      <c r="L94" s="4"/>
      <c r="M94" s="4"/>
      <c r="N94" s="4"/>
    </row>
    <row r="95" spans="1:14" ht="28.5">
      <c r="A95" s="4">
        <v>822001</v>
      </c>
      <c r="B95" s="4" t="s">
        <v>747</v>
      </c>
      <c r="C95" s="5" t="str">
        <f t="shared" si="5"/>
        <v>EXPENSE</v>
      </c>
      <c r="D95" s="5" t="s">
        <v>213</v>
      </c>
      <c r="E95" s="5" t="str">
        <f t="shared" si="4"/>
        <v>Training &amp; Development</v>
      </c>
      <c r="F95" s="5" t="s">
        <v>655</v>
      </c>
      <c r="G95" s="6">
        <v>0</v>
      </c>
      <c r="H95" s="6">
        <v>0</v>
      </c>
      <c r="I95" s="7">
        <v>46173</v>
      </c>
      <c r="J95" s="4" t="s">
        <v>19</v>
      </c>
      <c r="K95" s="4"/>
      <c r="L95" s="4"/>
      <c r="M95" s="4"/>
      <c r="N95" s="4"/>
    </row>
    <row r="98" spans="7:8">
      <c r="G98" s="17"/>
      <c r="H98" s="17"/>
    </row>
    <row r="99" spans="7:8">
      <c r="H99" s="17"/>
    </row>
    <row r="101" spans="7:8">
      <c r="G101" s="17"/>
      <c r="H101" s="17"/>
    </row>
    <row r="102" spans="7:8">
      <c r="G102" s="17"/>
      <c r="H102" s="17"/>
    </row>
    <row r="103" spans="7:8">
      <c r="H103" s="17"/>
    </row>
    <row r="106" spans="7:8">
      <c r="H106" s="17"/>
    </row>
  </sheetData>
  <mergeCells count="2">
    <mergeCell ref="A2:N2"/>
    <mergeCell ref="A1:N1"/>
  </mergeCells>
  <phoneticPr fontId="10" type="noConversion"/>
  <dataValidations count="5">
    <dataValidation type="list" allowBlank="1" showErrorMessage="1" errorTitle="Invalid value" error="Pick a classification from the list." sqref="C5:C95" xr:uid="{00000000-0002-0000-0000-000000000000}">
      <formula1>ZCLASS_LIST</formula1>
    </dataValidation>
    <dataValidation type="list" allowBlank="1" showErrorMessage="1" errorTitle="Invalid value" error="Pick a ZAFEB account code from the list." sqref="D5:D95" xr:uid="{00000000-0002-0000-0000-000001000000}">
      <formula1>ZCOA_CODE</formula1>
    </dataValidation>
    <dataValidation type="list" allowBlank="1" showErrorMessage="1" errorTitle="Invalid value" error="Pick a ZAFEB account name from the list." sqref="E5:E95" xr:uid="{00000000-0002-0000-0000-000002000000}">
      <formula1>ZCOA_NAME</formula1>
    </dataValidation>
    <dataValidation type="list" allowBlank="1" showErrorMessage="1" errorTitle="Invalid value" error="Pick a standard account code from the list." sqref="F5:F95" xr:uid="{00000000-0002-0000-0000-000003000000}">
      <formula1>ZCOA_STD</formula1>
    </dataValidation>
    <dataValidation type="list" errorStyle="warning" allowBlank="1" showErrorMessage="1" errorTitle="Invalid value" error="Pick a currency from the list." sqref="J5:J95" xr:uid="{00000000-0002-0000-0000-000004000000}">
      <formula1>"IDR,USD,SGD,AUD,EUR,JPY"</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E52"/>
  <sheetViews>
    <sheetView showGridLines="0" workbookViewId="0">
      <pane ySplit="1" topLeftCell="A2" activePane="bottomLeft" state="frozen"/>
      <selection pane="bottomLeft" sqref="A1:E1"/>
    </sheetView>
  </sheetViews>
  <sheetFormatPr defaultRowHeight="15"/>
  <cols>
    <col min="1" max="1" width="6" customWidth="1"/>
    <col min="2" max="2" width="30" customWidth="1"/>
    <col min="3" max="3" width="12" customWidth="1"/>
    <col min="4" max="4" width="22" customWidth="1"/>
    <col min="5" max="5" width="70" customWidth="1"/>
  </cols>
  <sheetData>
    <row r="1" spans="1:5" ht="26.1" customHeight="1">
      <c r="A1" s="29" t="s">
        <v>241</v>
      </c>
      <c r="B1" s="30"/>
      <c r="C1" s="30"/>
      <c r="D1" s="30"/>
      <c r="E1" s="30"/>
    </row>
    <row r="2" spans="1:5">
      <c r="A2" s="11"/>
      <c r="B2" s="12" t="s">
        <v>242</v>
      </c>
      <c r="C2" s="21" t="s">
        <v>243</v>
      </c>
      <c r="D2" s="19"/>
      <c r="E2" s="19"/>
    </row>
    <row r="3" spans="1:5">
      <c r="A3" s="11"/>
      <c r="B3" s="12" t="s">
        <v>244</v>
      </c>
      <c r="C3" s="21" t="s">
        <v>245</v>
      </c>
      <c r="D3" s="19"/>
      <c r="E3" s="19"/>
    </row>
    <row r="4" spans="1:5">
      <c r="A4" s="11"/>
      <c r="B4" s="12" t="s">
        <v>246</v>
      </c>
      <c r="C4" s="21" t="s">
        <v>247</v>
      </c>
      <c r="D4" s="19"/>
      <c r="E4" s="19"/>
    </row>
    <row r="5" spans="1:5">
      <c r="A5" s="11"/>
      <c r="B5" s="12" t="s">
        <v>12</v>
      </c>
      <c r="C5" s="21" t="s">
        <v>248</v>
      </c>
      <c r="D5" s="19"/>
      <c r="E5" s="19"/>
    </row>
    <row r="6" spans="1:5">
      <c r="A6" s="11"/>
      <c r="B6" s="12" t="s">
        <v>249</v>
      </c>
      <c r="C6" s="21" t="s">
        <v>250</v>
      </c>
      <c r="D6" s="19"/>
      <c r="E6" s="19"/>
    </row>
    <row r="8" spans="1:5" ht="20.100000000000001" customHeight="1">
      <c r="A8" s="26" t="s">
        <v>251</v>
      </c>
      <c r="B8" s="27"/>
      <c r="C8" s="27"/>
      <c r="D8" s="27"/>
      <c r="E8" s="27"/>
    </row>
    <row r="9" spans="1:5" ht="33" customHeight="1">
      <c r="A9" s="13" t="s">
        <v>252</v>
      </c>
      <c r="B9" s="21" t="s">
        <v>253</v>
      </c>
      <c r="C9" s="19"/>
      <c r="D9" s="19"/>
      <c r="E9" s="19"/>
    </row>
    <row r="10" spans="1:5" ht="33" customHeight="1">
      <c r="A10" s="13" t="s">
        <v>254</v>
      </c>
      <c r="B10" s="21" t="s">
        <v>255</v>
      </c>
      <c r="C10" s="19"/>
      <c r="D10" s="19"/>
      <c r="E10" s="19"/>
    </row>
    <row r="11" spans="1:5" ht="18" customHeight="1">
      <c r="A11" s="13" t="s">
        <v>256</v>
      </c>
      <c r="B11" s="21" t="s">
        <v>257</v>
      </c>
      <c r="C11" s="19"/>
      <c r="D11" s="19"/>
      <c r="E11" s="19"/>
    </row>
    <row r="12" spans="1:5" ht="33" customHeight="1">
      <c r="A12" s="13" t="s">
        <v>258</v>
      </c>
      <c r="B12" s="21" t="s">
        <v>259</v>
      </c>
      <c r="C12" s="19"/>
      <c r="D12" s="19"/>
      <c r="E12" s="19"/>
    </row>
    <row r="13" spans="1:5" ht="18" customHeight="1">
      <c r="A13" s="13" t="s">
        <v>260</v>
      </c>
      <c r="B13" s="21" t="s">
        <v>261</v>
      </c>
      <c r="C13" s="19"/>
      <c r="D13" s="19"/>
      <c r="E13" s="19"/>
    </row>
    <row r="14" spans="1:5" ht="33" customHeight="1">
      <c r="A14" s="13" t="s">
        <v>262</v>
      </c>
      <c r="B14" s="21" t="s">
        <v>263</v>
      </c>
      <c r="C14" s="19"/>
      <c r="D14" s="19"/>
      <c r="E14" s="19"/>
    </row>
    <row r="15" spans="1:5" ht="18" customHeight="1">
      <c r="A15" s="13" t="s">
        <v>264</v>
      </c>
      <c r="B15" s="21" t="s">
        <v>265</v>
      </c>
      <c r="C15" s="19"/>
      <c r="D15" s="19"/>
      <c r="E15" s="19"/>
    </row>
    <row r="16" spans="1:5" ht="33" customHeight="1">
      <c r="A16" s="13" t="s">
        <v>266</v>
      </c>
      <c r="B16" s="21" t="s">
        <v>267</v>
      </c>
      <c r="C16" s="19"/>
      <c r="D16" s="19"/>
      <c r="E16" s="19"/>
    </row>
    <row r="17" spans="1:5" ht="33" customHeight="1">
      <c r="A17" s="13" t="s">
        <v>268</v>
      </c>
      <c r="B17" s="21" t="s">
        <v>269</v>
      </c>
      <c r="C17" s="19"/>
      <c r="D17" s="19"/>
      <c r="E17" s="19"/>
    </row>
    <row r="18" spans="1:5" ht="33" customHeight="1">
      <c r="A18" s="13" t="s">
        <v>270</v>
      </c>
      <c r="B18" s="21" t="s">
        <v>271</v>
      </c>
      <c r="C18" s="19"/>
      <c r="D18" s="19"/>
      <c r="E18" s="19"/>
    </row>
    <row r="20" spans="1:5" ht="20.100000000000001" customHeight="1">
      <c r="A20" s="26" t="s">
        <v>272</v>
      </c>
      <c r="B20" s="27"/>
      <c r="C20" s="27"/>
      <c r="D20" s="27"/>
      <c r="E20" s="27"/>
    </row>
    <row r="21" spans="1:5" ht="20.100000000000001" customHeight="1">
      <c r="A21" s="14" t="s">
        <v>273</v>
      </c>
      <c r="B21" s="14" t="s">
        <v>274</v>
      </c>
      <c r="C21" s="14" t="s">
        <v>275</v>
      </c>
      <c r="D21" s="14" t="s">
        <v>276</v>
      </c>
      <c r="E21" s="14" t="s">
        <v>277</v>
      </c>
    </row>
    <row r="22" spans="1:5" ht="18" customHeight="1">
      <c r="A22" s="4">
        <v>1</v>
      </c>
      <c r="B22" s="4" t="s">
        <v>2</v>
      </c>
      <c r="C22" s="15" t="s">
        <v>278</v>
      </c>
      <c r="D22" s="4" t="s">
        <v>279</v>
      </c>
      <c r="E22" s="4" t="s">
        <v>280</v>
      </c>
    </row>
    <row r="23" spans="1:5" ht="48" customHeight="1">
      <c r="A23" s="4">
        <v>2</v>
      </c>
      <c r="B23" s="4" t="s">
        <v>3</v>
      </c>
      <c r="C23" s="15" t="s">
        <v>278</v>
      </c>
      <c r="D23" s="4" t="s">
        <v>281</v>
      </c>
      <c r="E23" s="4" t="s">
        <v>282</v>
      </c>
    </row>
    <row r="24" spans="1:5" ht="33" customHeight="1">
      <c r="A24" s="4">
        <v>3</v>
      </c>
      <c r="B24" s="5" t="s">
        <v>4</v>
      </c>
      <c r="C24" s="4" t="s">
        <v>283</v>
      </c>
      <c r="D24" s="4" t="s">
        <v>284</v>
      </c>
      <c r="E24" s="4" t="s">
        <v>285</v>
      </c>
    </row>
    <row r="25" spans="1:5" ht="33" customHeight="1">
      <c r="A25" s="4">
        <v>4</v>
      </c>
      <c r="B25" s="5" t="s">
        <v>5</v>
      </c>
      <c r="C25" s="4" t="s">
        <v>283</v>
      </c>
      <c r="D25" s="4" t="s">
        <v>284</v>
      </c>
      <c r="E25" s="4" t="s">
        <v>286</v>
      </c>
    </row>
    <row r="26" spans="1:5" ht="33" customHeight="1">
      <c r="A26" s="4">
        <v>5</v>
      </c>
      <c r="B26" s="5" t="s">
        <v>6</v>
      </c>
      <c r="C26" s="4" t="s">
        <v>283</v>
      </c>
      <c r="D26" s="4" t="s">
        <v>284</v>
      </c>
      <c r="E26" s="4" t="s">
        <v>287</v>
      </c>
    </row>
    <row r="27" spans="1:5" ht="18" customHeight="1">
      <c r="A27" s="4">
        <v>6</v>
      </c>
      <c r="B27" s="5" t="s">
        <v>7</v>
      </c>
      <c r="C27" s="4" t="s">
        <v>283</v>
      </c>
      <c r="D27" s="4" t="s">
        <v>284</v>
      </c>
      <c r="E27" s="4" t="s">
        <v>287</v>
      </c>
    </row>
    <row r="28" spans="1:5" ht="18" customHeight="1">
      <c r="A28" s="4">
        <v>7</v>
      </c>
      <c r="B28" s="4" t="s">
        <v>8</v>
      </c>
      <c r="C28" s="15" t="s">
        <v>278</v>
      </c>
      <c r="D28" s="4" t="s">
        <v>288</v>
      </c>
      <c r="E28" s="4" t="s">
        <v>289</v>
      </c>
    </row>
    <row r="29" spans="1:5" ht="33" customHeight="1">
      <c r="A29" s="4">
        <v>8</v>
      </c>
      <c r="B29" s="4" t="s">
        <v>9</v>
      </c>
      <c r="C29" s="15" t="s">
        <v>278</v>
      </c>
      <c r="D29" s="4" t="s">
        <v>288</v>
      </c>
      <c r="E29" s="4" t="s">
        <v>290</v>
      </c>
    </row>
    <row r="30" spans="1:5" ht="18" customHeight="1">
      <c r="A30" s="4">
        <v>9</v>
      </c>
      <c r="B30" s="4" t="s">
        <v>10</v>
      </c>
      <c r="C30" s="15" t="s">
        <v>278</v>
      </c>
      <c r="D30" s="4" t="s">
        <v>291</v>
      </c>
      <c r="E30" s="4" t="s">
        <v>292</v>
      </c>
    </row>
    <row r="31" spans="1:5" ht="18" customHeight="1">
      <c r="A31" s="4">
        <v>10</v>
      </c>
      <c r="B31" s="4" t="s">
        <v>11</v>
      </c>
      <c r="C31" s="15" t="s">
        <v>278</v>
      </c>
      <c r="D31" s="4" t="s">
        <v>293</v>
      </c>
      <c r="E31" s="4" t="s">
        <v>294</v>
      </c>
    </row>
    <row r="32" spans="1:5" ht="33" customHeight="1">
      <c r="A32" s="4">
        <v>11</v>
      </c>
      <c r="B32" s="4" t="s">
        <v>12</v>
      </c>
      <c r="C32" s="4" t="s">
        <v>295</v>
      </c>
      <c r="D32" s="4" t="s">
        <v>279</v>
      </c>
      <c r="E32" s="4" t="s">
        <v>296</v>
      </c>
    </row>
    <row r="33" spans="1:5" ht="33" customHeight="1">
      <c r="A33" s="4">
        <v>12</v>
      </c>
      <c r="B33" s="4" t="s">
        <v>297</v>
      </c>
      <c r="C33" s="4" t="s">
        <v>295</v>
      </c>
      <c r="D33" s="4" t="s">
        <v>279</v>
      </c>
      <c r="E33" s="4" t="s">
        <v>298</v>
      </c>
    </row>
    <row r="34" spans="1:5">
      <c r="A34" s="28" t="s">
        <v>299</v>
      </c>
      <c r="B34" s="19"/>
      <c r="C34" s="19"/>
      <c r="D34" s="19"/>
      <c r="E34" s="19"/>
    </row>
    <row r="36" spans="1:5" ht="20.100000000000001" customHeight="1">
      <c r="A36" s="26" t="s">
        <v>300</v>
      </c>
      <c r="B36" s="27"/>
      <c r="C36" s="27"/>
      <c r="D36" s="27"/>
      <c r="E36" s="27"/>
    </row>
    <row r="37" spans="1:5" ht="18" customHeight="1">
      <c r="A37" s="13" t="s">
        <v>301</v>
      </c>
      <c r="B37" s="24" t="s">
        <v>302</v>
      </c>
      <c r="C37" s="25"/>
      <c r="D37" s="25"/>
      <c r="E37" s="25"/>
    </row>
    <row r="38" spans="1:5" ht="18" customHeight="1">
      <c r="A38" s="13" t="s">
        <v>301</v>
      </c>
      <c r="B38" s="24" t="s">
        <v>303</v>
      </c>
      <c r="C38" s="25"/>
      <c r="D38" s="25"/>
      <c r="E38" s="25"/>
    </row>
    <row r="39" spans="1:5" ht="18" customHeight="1">
      <c r="A39" s="13" t="s">
        <v>301</v>
      </c>
      <c r="B39" s="24" t="s">
        <v>304</v>
      </c>
      <c r="C39" s="25"/>
      <c r="D39" s="25"/>
      <c r="E39" s="25"/>
    </row>
    <row r="40" spans="1:5" ht="18" customHeight="1">
      <c r="A40" s="13" t="s">
        <v>301</v>
      </c>
      <c r="B40" s="24" t="s">
        <v>305</v>
      </c>
      <c r="C40" s="25"/>
      <c r="D40" s="25"/>
      <c r="E40" s="25"/>
    </row>
    <row r="41" spans="1:5" ht="33" customHeight="1">
      <c r="A41" s="13" t="s">
        <v>301</v>
      </c>
      <c r="B41" s="24" t="s">
        <v>306</v>
      </c>
      <c r="C41" s="25"/>
      <c r="D41" s="25"/>
      <c r="E41" s="25"/>
    </row>
    <row r="42" spans="1:5" ht="18" customHeight="1">
      <c r="A42" s="13" t="s">
        <v>301</v>
      </c>
      <c r="B42" s="24" t="s">
        <v>307</v>
      </c>
      <c r="C42" s="25"/>
      <c r="D42" s="25"/>
      <c r="E42" s="25"/>
    </row>
    <row r="43" spans="1:5" ht="18" customHeight="1">
      <c r="A43" s="13" t="s">
        <v>301</v>
      </c>
      <c r="B43" s="24" t="s">
        <v>308</v>
      </c>
      <c r="C43" s="25"/>
      <c r="D43" s="25"/>
      <c r="E43" s="25"/>
    </row>
    <row r="45" spans="1:5" ht="20.100000000000001" customHeight="1">
      <c r="A45" s="26" t="s">
        <v>309</v>
      </c>
      <c r="B45" s="27"/>
      <c r="C45" s="27"/>
      <c r="D45" s="27"/>
      <c r="E45" s="27"/>
    </row>
    <row r="46" spans="1:5" ht="18" customHeight="1">
      <c r="A46" s="13" t="s">
        <v>301</v>
      </c>
      <c r="B46" s="22" t="s">
        <v>310</v>
      </c>
      <c r="C46" s="23"/>
      <c r="D46" s="23"/>
      <c r="E46" s="23"/>
    </row>
    <row r="47" spans="1:5" ht="18" customHeight="1">
      <c r="A47" s="13" t="s">
        <v>301</v>
      </c>
      <c r="B47" s="22" t="s">
        <v>311</v>
      </c>
      <c r="C47" s="23"/>
      <c r="D47" s="23"/>
      <c r="E47" s="23"/>
    </row>
    <row r="48" spans="1:5" ht="18" customHeight="1">
      <c r="A48" s="13" t="s">
        <v>301</v>
      </c>
      <c r="B48" s="22" t="s">
        <v>312</v>
      </c>
      <c r="C48" s="23"/>
      <c r="D48" s="23"/>
      <c r="E48" s="23"/>
    </row>
    <row r="50" spans="1:5" ht="20.100000000000001" customHeight="1">
      <c r="A50" s="26" t="s">
        <v>313</v>
      </c>
      <c r="B50" s="27"/>
      <c r="C50" s="27"/>
      <c r="D50" s="27"/>
      <c r="E50" s="27"/>
    </row>
    <row r="51" spans="1:5" ht="33" customHeight="1">
      <c r="A51" s="13" t="s">
        <v>301</v>
      </c>
      <c r="B51" s="21" t="s">
        <v>314</v>
      </c>
      <c r="C51" s="19"/>
      <c r="D51" s="19"/>
      <c r="E51" s="19"/>
    </row>
    <row r="52" spans="1:5" ht="18" customHeight="1">
      <c r="A52" s="13" t="s">
        <v>301</v>
      </c>
      <c r="B52" s="21" t="s">
        <v>315</v>
      </c>
      <c r="C52" s="19"/>
      <c r="D52" s="19"/>
      <c r="E52" s="19"/>
    </row>
  </sheetData>
  <mergeCells count="34">
    <mergeCell ref="B15:E15"/>
    <mergeCell ref="A1:E1"/>
    <mergeCell ref="A45:E45"/>
    <mergeCell ref="A36:E36"/>
    <mergeCell ref="B51:E51"/>
    <mergeCell ref="C2:E2"/>
    <mergeCell ref="B41:E41"/>
    <mergeCell ref="B16:E16"/>
    <mergeCell ref="B47:E47"/>
    <mergeCell ref="B46:E46"/>
    <mergeCell ref="B18:E18"/>
    <mergeCell ref="A50:E50"/>
    <mergeCell ref="B43:E43"/>
    <mergeCell ref="B12:E12"/>
    <mergeCell ref="B10:E10"/>
    <mergeCell ref="A34:E34"/>
    <mergeCell ref="B9:E9"/>
    <mergeCell ref="B40:E40"/>
    <mergeCell ref="B52:E52"/>
    <mergeCell ref="B48:E48"/>
    <mergeCell ref="B39:E39"/>
    <mergeCell ref="C3:E3"/>
    <mergeCell ref="B11:E11"/>
    <mergeCell ref="A8:E8"/>
    <mergeCell ref="B42:E42"/>
    <mergeCell ref="B14:E14"/>
    <mergeCell ref="C6:E6"/>
    <mergeCell ref="B17:E17"/>
    <mergeCell ref="A20:E20"/>
    <mergeCell ref="C5:E5"/>
    <mergeCell ref="B13:E13"/>
    <mergeCell ref="B38:E38"/>
    <mergeCell ref="C4:E4"/>
    <mergeCell ref="B37:E3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J114"/>
  <sheetViews>
    <sheetView workbookViewId="0">
      <pane xSplit="2" ySplit="4" topLeftCell="C37" activePane="bottomRight" state="frozen"/>
      <selection pane="topRight"/>
      <selection pane="bottomLeft"/>
      <selection pane="bottomRight" activeCell="A64" sqref="A64"/>
    </sheetView>
  </sheetViews>
  <sheetFormatPr defaultRowHeight="15"/>
  <cols>
    <col min="1" max="1" width="14" customWidth="1"/>
    <col min="2" max="2" width="43" customWidth="1"/>
    <col min="3" max="3" width="16" customWidth="1"/>
    <col min="4" max="4" width="31" customWidth="1"/>
    <col min="5" max="5" width="38" customWidth="1"/>
    <col min="6" max="6" width="50" customWidth="1"/>
    <col min="7" max="7" width="16" customWidth="1"/>
    <col min="8" max="8" width="8" customWidth="1"/>
    <col min="9" max="9" width="19" customWidth="1"/>
    <col min="10" max="10" width="60" customWidth="1"/>
  </cols>
  <sheetData>
    <row r="1" spans="1:10" ht="24" customHeight="1">
      <c r="A1" s="20" t="s">
        <v>316</v>
      </c>
      <c r="B1" s="19"/>
      <c r="C1" s="19"/>
      <c r="D1" s="19"/>
      <c r="E1" s="19"/>
      <c r="F1" s="19"/>
      <c r="G1" s="19"/>
      <c r="H1" s="19"/>
      <c r="I1" s="19"/>
      <c r="J1" s="19"/>
    </row>
    <row r="2" spans="1:10" ht="48" customHeight="1">
      <c r="A2" s="18" t="s">
        <v>317</v>
      </c>
      <c r="B2" s="19"/>
      <c r="C2" s="19"/>
      <c r="D2" s="19"/>
      <c r="E2" s="19"/>
      <c r="F2" s="19"/>
      <c r="G2" s="19"/>
      <c r="H2" s="19"/>
      <c r="I2" s="19"/>
      <c r="J2" s="19"/>
    </row>
    <row r="4" spans="1:10" ht="20.100000000000001" customHeight="1">
      <c r="A4" s="1" t="s">
        <v>318</v>
      </c>
      <c r="B4" s="1" t="s">
        <v>319</v>
      </c>
      <c r="C4" s="1" t="s">
        <v>320</v>
      </c>
      <c r="D4" s="1" t="s">
        <v>321</v>
      </c>
      <c r="E4" s="1" t="s">
        <v>322</v>
      </c>
      <c r="F4" s="1" t="s">
        <v>7</v>
      </c>
      <c r="G4" s="1" t="s">
        <v>323</v>
      </c>
      <c r="H4" s="1" t="s">
        <v>29</v>
      </c>
      <c r="I4" s="1" t="s">
        <v>324</v>
      </c>
      <c r="J4" s="1" t="s">
        <v>325</v>
      </c>
    </row>
    <row r="5" spans="1:10">
      <c r="A5" s="11" t="s">
        <v>17</v>
      </c>
      <c r="B5" s="11" t="s">
        <v>18</v>
      </c>
      <c r="C5" s="11" t="s">
        <v>326</v>
      </c>
      <c r="D5" s="11" t="s">
        <v>327</v>
      </c>
      <c r="E5" s="11" t="s">
        <v>328</v>
      </c>
      <c r="F5" s="11" t="s">
        <v>329</v>
      </c>
      <c r="G5" s="11" t="s">
        <v>330</v>
      </c>
      <c r="H5" s="11" t="s">
        <v>331</v>
      </c>
      <c r="I5" s="11"/>
      <c r="J5" s="11" t="s">
        <v>332</v>
      </c>
    </row>
    <row r="6" spans="1:10">
      <c r="A6" s="11" t="s">
        <v>21</v>
      </c>
      <c r="B6" s="11" t="s">
        <v>22</v>
      </c>
      <c r="C6" s="11" t="s">
        <v>326</v>
      </c>
      <c r="D6" s="11" t="s">
        <v>327</v>
      </c>
      <c r="E6" s="11" t="s">
        <v>328</v>
      </c>
      <c r="F6" s="11" t="s">
        <v>333</v>
      </c>
      <c r="G6" s="11" t="s">
        <v>330</v>
      </c>
      <c r="H6" s="11" t="s">
        <v>331</v>
      </c>
      <c r="I6" s="11"/>
      <c r="J6" s="11" t="s">
        <v>334</v>
      </c>
    </row>
    <row r="7" spans="1:10">
      <c r="A7" s="11" t="s">
        <v>24</v>
      </c>
      <c r="B7" s="11" t="s">
        <v>25</v>
      </c>
      <c r="C7" s="11" t="s">
        <v>326</v>
      </c>
      <c r="D7" s="11" t="s">
        <v>327</v>
      </c>
      <c r="E7" s="11" t="s">
        <v>328</v>
      </c>
      <c r="F7" s="11" t="s">
        <v>335</v>
      </c>
      <c r="G7" s="11" t="s">
        <v>330</v>
      </c>
      <c r="H7" s="11" t="s">
        <v>331</v>
      </c>
      <c r="I7" s="11"/>
      <c r="J7" s="11" t="s">
        <v>336</v>
      </c>
    </row>
    <row r="8" spans="1:10">
      <c r="A8" s="11" t="s">
        <v>27</v>
      </c>
      <c r="B8" s="11" t="s">
        <v>28</v>
      </c>
      <c r="C8" s="11" t="s">
        <v>326</v>
      </c>
      <c r="D8" s="11" t="s">
        <v>327</v>
      </c>
      <c r="E8" s="11" t="s">
        <v>328</v>
      </c>
      <c r="F8" s="11" t="s">
        <v>335</v>
      </c>
      <c r="G8" s="11" t="s">
        <v>330</v>
      </c>
      <c r="H8" s="11" t="s">
        <v>331</v>
      </c>
      <c r="I8" s="11"/>
      <c r="J8" s="11" t="s">
        <v>337</v>
      </c>
    </row>
    <row r="9" spans="1:10">
      <c r="A9" s="11" t="s">
        <v>30</v>
      </c>
      <c r="B9" s="11" t="s">
        <v>31</v>
      </c>
      <c r="C9" s="11" t="s">
        <v>326</v>
      </c>
      <c r="D9" s="11" t="s">
        <v>327</v>
      </c>
      <c r="E9" s="11" t="s">
        <v>328</v>
      </c>
      <c r="F9" s="11" t="s">
        <v>335</v>
      </c>
      <c r="G9" s="11" t="s">
        <v>330</v>
      </c>
      <c r="H9" s="11" t="s">
        <v>331</v>
      </c>
      <c r="I9" s="11"/>
      <c r="J9" s="11" t="s">
        <v>338</v>
      </c>
    </row>
    <row r="10" spans="1:10">
      <c r="A10" s="11" t="s">
        <v>32</v>
      </c>
      <c r="B10" s="11" t="s">
        <v>33</v>
      </c>
      <c r="C10" s="11" t="s">
        <v>326</v>
      </c>
      <c r="D10" s="11" t="s">
        <v>327</v>
      </c>
      <c r="E10" s="11" t="s">
        <v>328</v>
      </c>
      <c r="F10" s="11" t="s">
        <v>335</v>
      </c>
      <c r="G10" s="11" t="s">
        <v>330</v>
      </c>
      <c r="H10" s="11" t="s">
        <v>331</v>
      </c>
      <c r="I10" s="11"/>
      <c r="J10" s="11" t="s">
        <v>339</v>
      </c>
    </row>
    <row r="11" spans="1:10">
      <c r="A11" s="11" t="s">
        <v>34</v>
      </c>
      <c r="B11" s="11" t="s">
        <v>35</v>
      </c>
      <c r="C11" s="11" t="s">
        <v>326</v>
      </c>
      <c r="D11" s="11" t="s">
        <v>327</v>
      </c>
      <c r="E11" s="11" t="s">
        <v>328</v>
      </c>
      <c r="F11" s="11" t="s">
        <v>340</v>
      </c>
      <c r="G11" s="11" t="s">
        <v>330</v>
      </c>
      <c r="H11" s="11" t="s">
        <v>331</v>
      </c>
      <c r="I11" s="11"/>
      <c r="J11" s="11" t="s">
        <v>341</v>
      </c>
    </row>
    <row r="12" spans="1:10">
      <c r="A12" s="11" t="s">
        <v>36</v>
      </c>
      <c r="B12" s="11" t="s">
        <v>37</v>
      </c>
      <c r="C12" s="11" t="s">
        <v>326</v>
      </c>
      <c r="D12" s="11" t="s">
        <v>327</v>
      </c>
      <c r="E12" s="11" t="s">
        <v>328</v>
      </c>
      <c r="F12" s="11" t="s">
        <v>342</v>
      </c>
      <c r="G12" s="11" t="s">
        <v>330</v>
      </c>
      <c r="H12" s="11" t="s">
        <v>331</v>
      </c>
      <c r="I12" s="11"/>
      <c r="J12" s="11" t="s">
        <v>343</v>
      </c>
    </row>
    <row r="13" spans="1:10">
      <c r="A13" s="11" t="s">
        <v>38</v>
      </c>
      <c r="B13" s="11" t="s">
        <v>39</v>
      </c>
      <c r="C13" s="11" t="s">
        <v>326</v>
      </c>
      <c r="D13" s="11" t="s">
        <v>327</v>
      </c>
      <c r="E13" s="11" t="s">
        <v>344</v>
      </c>
      <c r="F13" s="11" t="s">
        <v>345</v>
      </c>
      <c r="G13" s="11" t="s">
        <v>330</v>
      </c>
      <c r="H13" s="11" t="s">
        <v>331</v>
      </c>
      <c r="I13" s="11"/>
      <c r="J13" s="11" t="s">
        <v>346</v>
      </c>
    </row>
    <row r="14" spans="1:10">
      <c r="A14" s="11" t="s">
        <v>40</v>
      </c>
      <c r="B14" s="11" t="s">
        <v>41</v>
      </c>
      <c r="C14" s="11" t="s">
        <v>326</v>
      </c>
      <c r="D14" s="11" t="s">
        <v>327</v>
      </c>
      <c r="E14" s="11" t="s">
        <v>347</v>
      </c>
      <c r="F14" s="11" t="s">
        <v>348</v>
      </c>
      <c r="G14" s="11" t="s">
        <v>349</v>
      </c>
      <c r="H14" s="11" t="s">
        <v>331</v>
      </c>
      <c r="I14" s="11"/>
      <c r="J14" s="11" t="s">
        <v>350</v>
      </c>
    </row>
    <row r="15" spans="1:10">
      <c r="A15" s="11" t="s">
        <v>42</v>
      </c>
      <c r="B15" s="11" t="s">
        <v>43</v>
      </c>
      <c r="C15" s="11" t="s">
        <v>326</v>
      </c>
      <c r="D15" s="11" t="s">
        <v>327</v>
      </c>
      <c r="E15" s="11" t="s">
        <v>351</v>
      </c>
      <c r="F15" s="11" t="s">
        <v>352</v>
      </c>
      <c r="G15" s="11" t="s">
        <v>330</v>
      </c>
      <c r="H15" s="11" t="s">
        <v>331</v>
      </c>
      <c r="I15" s="11"/>
      <c r="J15" s="11" t="s">
        <v>353</v>
      </c>
    </row>
    <row r="16" spans="1:10">
      <c r="A16" s="11" t="s">
        <v>44</v>
      </c>
      <c r="B16" s="11" t="s">
        <v>45</v>
      </c>
      <c r="C16" s="11" t="s">
        <v>326</v>
      </c>
      <c r="D16" s="11" t="s">
        <v>327</v>
      </c>
      <c r="E16" s="11" t="s">
        <v>354</v>
      </c>
      <c r="F16" s="11" t="s">
        <v>355</v>
      </c>
      <c r="G16" s="11" t="s">
        <v>330</v>
      </c>
      <c r="H16" s="11" t="s">
        <v>331</v>
      </c>
      <c r="I16" s="11"/>
      <c r="J16" s="11" t="s">
        <v>356</v>
      </c>
    </row>
    <row r="17" spans="1:10">
      <c r="A17" s="16" t="s">
        <v>46</v>
      </c>
      <c r="B17" s="16" t="s">
        <v>47</v>
      </c>
      <c r="C17" s="16" t="s">
        <v>326</v>
      </c>
      <c r="D17" s="16" t="s">
        <v>327</v>
      </c>
      <c r="E17" s="16" t="s">
        <v>357</v>
      </c>
      <c r="F17" s="16" t="s">
        <v>358</v>
      </c>
      <c r="G17" s="16" t="s">
        <v>330</v>
      </c>
      <c r="H17" s="16" t="s">
        <v>331</v>
      </c>
      <c r="I17" s="16" t="s">
        <v>359</v>
      </c>
      <c r="J17" s="16" t="s">
        <v>360</v>
      </c>
    </row>
    <row r="18" spans="1:10">
      <c r="A18" s="11" t="s">
        <v>48</v>
      </c>
      <c r="B18" s="11" t="s">
        <v>49</v>
      </c>
      <c r="C18" s="11" t="s">
        <v>326</v>
      </c>
      <c r="D18" s="11" t="s">
        <v>327</v>
      </c>
      <c r="E18" s="11" t="s">
        <v>361</v>
      </c>
      <c r="F18" s="11" t="s">
        <v>362</v>
      </c>
      <c r="G18" s="11" t="s">
        <v>330</v>
      </c>
      <c r="H18" s="11" t="s">
        <v>331</v>
      </c>
      <c r="I18" s="11"/>
      <c r="J18" s="11" t="s">
        <v>363</v>
      </c>
    </row>
    <row r="19" spans="1:10">
      <c r="A19" s="11" t="s">
        <v>50</v>
      </c>
      <c r="B19" s="11" t="s">
        <v>51</v>
      </c>
      <c r="C19" s="11" t="s">
        <v>326</v>
      </c>
      <c r="D19" s="11" t="s">
        <v>327</v>
      </c>
      <c r="E19" s="11" t="s">
        <v>364</v>
      </c>
      <c r="F19" s="11" t="s">
        <v>365</v>
      </c>
      <c r="G19" s="11" t="s">
        <v>330</v>
      </c>
      <c r="H19" s="11" t="s">
        <v>331</v>
      </c>
      <c r="I19" s="11"/>
      <c r="J19" s="11" t="s">
        <v>366</v>
      </c>
    </row>
    <row r="20" spans="1:10">
      <c r="A20" s="11" t="s">
        <v>52</v>
      </c>
      <c r="B20" s="11" t="s">
        <v>53</v>
      </c>
      <c r="C20" s="11" t="s">
        <v>326</v>
      </c>
      <c r="D20" s="11" t="s">
        <v>327</v>
      </c>
      <c r="E20" s="11" t="s">
        <v>364</v>
      </c>
      <c r="F20" s="11" t="s">
        <v>367</v>
      </c>
      <c r="G20" s="11" t="s">
        <v>330</v>
      </c>
      <c r="H20" s="11" t="s">
        <v>331</v>
      </c>
      <c r="I20" s="11"/>
      <c r="J20" s="11" t="s">
        <v>368</v>
      </c>
    </row>
    <row r="21" spans="1:10">
      <c r="A21" s="11" t="s">
        <v>54</v>
      </c>
      <c r="B21" s="11" t="s">
        <v>55</v>
      </c>
      <c r="C21" s="11" t="s">
        <v>326</v>
      </c>
      <c r="D21" s="11" t="s">
        <v>327</v>
      </c>
      <c r="E21" s="11" t="s">
        <v>369</v>
      </c>
      <c r="F21" s="11" t="s">
        <v>370</v>
      </c>
      <c r="G21" s="11" t="s">
        <v>330</v>
      </c>
      <c r="H21" s="11" t="s">
        <v>331</v>
      </c>
      <c r="I21" s="11"/>
      <c r="J21" s="11" t="s">
        <v>371</v>
      </c>
    </row>
    <row r="22" spans="1:10">
      <c r="A22" s="11" t="s">
        <v>56</v>
      </c>
      <c r="B22" s="11" t="s">
        <v>57</v>
      </c>
      <c r="C22" s="11" t="s">
        <v>326</v>
      </c>
      <c r="D22" s="11" t="s">
        <v>327</v>
      </c>
      <c r="E22" s="11" t="s">
        <v>372</v>
      </c>
      <c r="F22" s="11" t="s">
        <v>373</v>
      </c>
      <c r="G22" s="11" t="s">
        <v>330</v>
      </c>
      <c r="H22" s="11" t="s">
        <v>331</v>
      </c>
      <c r="I22" s="11"/>
      <c r="J22" s="11" t="s">
        <v>374</v>
      </c>
    </row>
    <row r="23" spans="1:10">
      <c r="A23" s="11" t="s">
        <v>58</v>
      </c>
      <c r="B23" s="11" t="s">
        <v>59</v>
      </c>
      <c r="C23" s="11" t="s">
        <v>326</v>
      </c>
      <c r="D23" s="11" t="s">
        <v>327</v>
      </c>
      <c r="E23" s="11" t="s">
        <v>375</v>
      </c>
      <c r="F23" s="11" t="s">
        <v>376</v>
      </c>
      <c r="G23" s="11" t="s">
        <v>330</v>
      </c>
      <c r="H23" s="11" t="s">
        <v>331</v>
      </c>
      <c r="I23" s="11"/>
      <c r="J23" s="11" t="s">
        <v>377</v>
      </c>
    </row>
    <row r="24" spans="1:10">
      <c r="A24" s="16" t="s">
        <v>60</v>
      </c>
      <c r="B24" s="16" t="s">
        <v>61</v>
      </c>
      <c r="C24" s="16" t="s">
        <v>326</v>
      </c>
      <c r="D24" s="16" t="s">
        <v>327</v>
      </c>
      <c r="E24" s="16" t="s">
        <v>378</v>
      </c>
      <c r="F24" s="16" t="s">
        <v>379</v>
      </c>
      <c r="G24" s="16" t="s">
        <v>330</v>
      </c>
      <c r="H24" s="16" t="s">
        <v>331</v>
      </c>
      <c r="I24" s="16" t="s">
        <v>380</v>
      </c>
      <c r="J24" s="16" t="s">
        <v>381</v>
      </c>
    </row>
    <row r="25" spans="1:10">
      <c r="A25" s="11" t="s">
        <v>62</v>
      </c>
      <c r="B25" s="11" t="s">
        <v>63</v>
      </c>
      <c r="C25" s="11" t="s">
        <v>326</v>
      </c>
      <c r="D25" s="11" t="s">
        <v>327</v>
      </c>
      <c r="E25" s="11" t="s">
        <v>378</v>
      </c>
      <c r="F25" s="11" t="s">
        <v>382</v>
      </c>
      <c r="G25" s="11" t="s">
        <v>330</v>
      </c>
      <c r="H25" s="11" t="s">
        <v>331</v>
      </c>
      <c r="I25" s="11"/>
      <c r="J25" s="11" t="s">
        <v>383</v>
      </c>
    </row>
    <row r="26" spans="1:10">
      <c r="A26" s="11" t="s">
        <v>64</v>
      </c>
      <c r="B26" s="11" t="s">
        <v>65</v>
      </c>
      <c r="C26" s="11" t="s">
        <v>326</v>
      </c>
      <c r="D26" s="11" t="s">
        <v>327</v>
      </c>
      <c r="E26" s="11" t="s">
        <v>357</v>
      </c>
      <c r="F26" s="11" t="s">
        <v>384</v>
      </c>
      <c r="G26" s="11" t="s">
        <v>330</v>
      </c>
      <c r="H26" s="11" t="s">
        <v>331</v>
      </c>
      <c r="I26" s="11"/>
      <c r="J26" s="11" t="s">
        <v>385</v>
      </c>
    </row>
    <row r="27" spans="1:10">
      <c r="A27" s="16" t="s">
        <v>66</v>
      </c>
      <c r="B27" s="16" t="s">
        <v>67</v>
      </c>
      <c r="C27" s="16" t="s">
        <v>326</v>
      </c>
      <c r="D27" s="16" t="s">
        <v>386</v>
      </c>
      <c r="E27" s="16" t="s">
        <v>387</v>
      </c>
      <c r="F27" s="16" t="s">
        <v>388</v>
      </c>
      <c r="G27" s="16" t="s">
        <v>349</v>
      </c>
      <c r="H27" s="16" t="s">
        <v>331</v>
      </c>
      <c r="I27" s="16" t="s">
        <v>389</v>
      </c>
      <c r="J27" s="16" t="s">
        <v>390</v>
      </c>
    </row>
    <row r="28" spans="1:10">
      <c r="A28" s="11" t="s">
        <v>68</v>
      </c>
      <c r="B28" s="11" t="s">
        <v>69</v>
      </c>
      <c r="C28" s="11" t="s">
        <v>326</v>
      </c>
      <c r="D28" s="11" t="s">
        <v>386</v>
      </c>
      <c r="E28" s="11" t="s">
        <v>391</v>
      </c>
      <c r="F28" s="11" t="s">
        <v>392</v>
      </c>
      <c r="G28" s="11" t="s">
        <v>349</v>
      </c>
      <c r="H28" s="11" t="s">
        <v>331</v>
      </c>
      <c r="I28" s="11"/>
      <c r="J28" s="11" t="s">
        <v>393</v>
      </c>
    </row>
    <row r="29" spans="1:10">
      <c r="A29" s="11" t="s">
        <v>70</v>
      </c>
      <c r="B29" s="11" t="s">
        <v>71</v>
      </c>
      <c r="C29" s="11" t="s">
        <v>326</v>
      </c>
      <c r="D29" s="11" t="s">
        <v>386</v>
      </c>
      <c r="E29" s="11" t="s">
        <v>394</v>
      </c>
      <c r="F29" s="11" t="s">
        <v>395</v>
      </c>
      <c r="G29" s="11" t="s">
        <v>330</v>
      </c>
      <c r="H29" s="11" t="s">
        <v>331</v>
      </c>
      <c r="I29" s="11"/>
      <c r="J29" s="11" t="s">
        <v>396</v>
      </c>
    </row>
    <row r="30" spans="1:10">
      <c r="A30" s="11" t="s">
        <v>72</v>
      </c>
      <c r="B30" s="11" t="s">
        <v>73</v>
      </c>
      <c r="C30" s="11" t="s">
        <v>326</v>
      </c>
      <c r="D30" s="11" t="s">
        <v>386</v>
      </c>
      <c r="E30" s="11" t="s">
        <v>397</v>
      </c>
      <c r="F30" s="11" t="s">
        <v>398</v>
      </c>
      <c r="G30" s="11" t="s">
        <v>330</v>
      </c>
      <c r="H30" s="11" t="s">
        <v>331</v>
      </c>
      <c r="I30" s="11"/>
      <c r="J30" s="11" t="s">
        <v>399</v>
      </c>
    </row>
    <row r="31" spans="1:10">
      <c r="A31" s="11" t="s">
        <v>74</v>
      </c>
      <c r="B31" s="11" t="s">
        <v>75</v>
      </c>
      <c r="C31" s="11" t="s">
        <v>326</v>
      </c>
      <c r="D31" s="11" t="s">
        <v>386</v>
      </c>
      <c r="E31" s="11" t="s">
        <v>400</v>
      </c>
      <c r="F31" s="11" t="s">
        <v>401</v>
      </c>
      <c r="G31" s="11" t="s">
        <v>330</v>
      </c>
      <c r="H31" s="11" t="s">
        <v>331</v>
      </c>
      <c r="I31" s="11"/>
      <c r="J31" s="11" t="s">
        <v>402</v>
      </c>
    </row>
    <row r="32" spans="1:10">
      <c r="A32" s="16" t="s">
        <v>76</v>
      </c>
      <c r="B32" s="16" t="s">
        <v>77</v>
      </c>
      <c r="C32" s="16" t="s">
        <v>326</v>
      </c>
      <c r="D32" s="16" t="s">
        <v>386</v>
      </c>
      <c r="E32" s="16" t="s">
        <v>403</v>
      </c>
      <c r="F32" s="16" t="s">
        <v>404</v>
      </c>
      <c r="G32" s="16" t="s">
        <v>330</v>
      </c>
      <c r="H32" s="16" t="s">
        <v>331</v>
      </c>
      <c r="I32" s="16" t="s">
        <v>389</v>
      </c>
      <c r="J32" s="16" t="s">
        <v>405</v>
      </c>
    </row>
    <row r="33" spans="1:10">
      <c r="A33" s="16" t="s">
        <v>78</v>
      </c>
      <c r="B33" s="16" t="s">
        <v>79</v>
      </c>
      <c r="C33" s="16" t="s">
        <v>326</v>
      </c>
      <c r="D33" s="16" t="s">
        <v>386</v>
      </c>
      <c r="E33" s="16" t="s">
        <v>403</v>
      </c>
      <c r="F33" s="16" t="s">
        <v>406</v>
      </c>
      <c r="G33" s="16" t="s">
        <v>330</v>
      </c>
      <c r="H33" s="16" t="s">
        <v>331</v>
      </c>
      <c r="I33" s="16" t="s">
        <v>389</v>
      </c>
      <c r="J33" s="16" t="s">
        <v>407</v>
      </c>
    </row>
    <row r="34" spans="1:10">
      <c r="A34" s="16" t="s">
        <v>80</v>
      </c>
      <c r="B34" s="16" t="s">
        <v>81</v>
      </c>
      <c r="C34" s="16" t="s">
        <v>326</v>
      </c>
      <c r="D34" s="16" t="s">
        <v>386</v>
      </c>
      <c r="E34" s="16" t="s">
        <v>403</v>
      </c>
      <c r="F34" s="16" t="s">
        <v>408</v>
      </c>
      <c r="G34" s="16" t="s">
        <v>330</v>
      </c>
      <c r="H34" s="16" t="s">
        <v>331</v>
      </c>
      <c r="I34" s="16" t="s">
        <v>389</v>
      </c>
      <c r="J34" s="16" t="s">
        <v>409</v>
      </c>
    </row>
    <row r="35" spans="1:10">
      <c r="A35" s="16" t="s">
        <v>82</v>
      </c>
      <c r="B35" s="16" t="s">
        <v>83</v>
      </c>
      <c r="C35" s="16" t="s">
        <v>326</v>
      </c>
      <c r="D35" s="16" t="s">
        <v>386</v>
      </c>
      <c r="E35" s="16" t="s">
        <v>403</v>
      </c>
      <c r="F35" s="16" t="s">
        <v>410</v>
      </c>
      <c r="G35" s="16" t="s">
        <v>330</v>
      </c>
      <c r="H35" s="16" t="s">
        <v>331</v>
      </c>
      <c r="I35" s="16" t="s">
        <v>389</v>
      </c>
      <c r="J35" s="16" t="s">
        <v>411</v>
      </c>
    </row>
    <row r="36" spans="1:10">
      <c r="A36" s="16" t="s">
        <v>84</v>
      </c>
      <c r="B36" s="16" t="s">
        <v>85</v>
      </c>
      <c r="C36" s="16" t="s">
        <v>326</v>
      </c>
      <c r="D36" s="16" t="s">
        <v>386</v>
      </c>
      <c r="E36" s="16" t="s">
        <v>403</v>
      </c>
      <c r="F36" s="16" t="s">
        <v>412</v>
      </c>
      <c r="G36" s="16" t="s">
        <v>330</v>
      </c>
      <c r="H36" s="16" t="s">
        <v>331</v>
      </c>
      <c r="I36" s="16" t="s">
        <v>389</v>
      </c>
      <c r="J36" s="16" t="s">
        <v>413</v>
      </c>
    </row>
    <row r="37" spans="1:10">
      <c r="A37" s="11" t="s">
        <v>86</v>
      </c>
      <c r="B37" s="11" t="s">
        <v>87</v>
      </c>
      <c r="C37" s="11" t="s">
        <v>414</v>
      </c>
      <c r="D37" s="11" t="s">
        <v>415</v>
      </c>
      <c r="E37" s="11" t="s">
        <v>416</v>
      </c>
      <c r="F37" s="11" t="s">
        <v>417</v>
      </c>
      <c r="G37" s="11" t="s">
        <v>349</v>
      </c>
      <c r="H37" s="11" t="s">
        <v>331</v>
      </c>
      <c r="I37" s="11"/>
      <c r="J37" s="11" t="s">
        <v>418</v>
      </c>
    </row>
    <row r="38" spans="1:10">
      <c r="A38" s="11" t="s">
        <v>88</v>
      </c>
      <c r="B38" s="11" t="s">
        <v>89</v>
      </c>
      <c r="C38" s="11" t="s">
        <v>414</v>
      </c>
      <c r="D38" s="11" t="s">
        <v>415</v>
      </c>
      <c r="E38" s="11" t="s">
        <v>416</v>
      </c>
      <c r="F38" s="11" t="s">
        <v>419</v>
      </c>
      <c r="G38" s="11" t="s">
        <v>349</v>
      </c>
      <c r="H38" s="11" t="s">
        <v>331</v>
      </c>
      <c r="I38" s="11"/>
      <c r="J38" s="11" t="s">
        <v>420</v>
      </c>
    </row>
    <row r="39" spans="1:10">
      <c r="A39" s="11" t="s">
        <v>90</v>
      </c>
      <c r="B39" s="11" t="s">
        <v>91</v>
      </c>
      <c r="C39" s="11" t="s">
        <v>414</v>
      </c>
      <c r="D39" s="11" t="s">
        <v>415</v>
      </c>
      <c r="E39" s="11" t="s">
        <v>421</v>
      </c>
      <c r="F39" s="11" t="s">
        <v>422</v>
      </c>
      <c r="G39" s="11" t="s">
        <v>349</v>
      </c>
      <c r="H39" s="11" t="s">
        <v>331</v>
      </c>
      <c r="I39" s="11"/>
      <c r="J39" s="11" t="s">
        <v>423</v>
      </c>
    </row>
    <row r="40" spans="1:10">
      <c r="A40" s="11" t="s">
        <v>92</v>
      </c>
      <c r="B40" s="11" t="s">
        <v>93</v>
      </c>
      <c r="C40" s="11" t="s">
        <v>414</v>
      </c>
      <c r="D40" s="11" t="s">
        <v>415</v>
      </c>
      <c r="E40" s="11" t="s">
        <v>424</v>
      </c>
      <c r="F40" s="11" t="s">
        <v>425</v>
      </c>
      <c r="G40" s="11" t="s">
        <v>349</v>
      </c>
      <c r="H40" s="11" t="s">
        <v>331</v>
      </c>
      <c r="I40" s="11"/>
      <c r="J40" s="11" t="s">
        <v>426</v>
      </c>
    </row>
    <row r="41" spans="1:10">
      <c r="A41" s="11" t="s">
        <v>94</v>
      </c>
      <c r="B41" s="11" t="s">
        <v>95</v>
      </c>
      <c r="C41" s="11" t="s">
        <v>414</v>
      </c>
      <c r="D41" s="11" t="s">
        <v>415</v>
      </c>
      <c r="E41" s="11" t="s">
        <v>427</v>
      </c>
      <c r="F41" s="11" t="s">
        <v>428</v>
      </c>
      <c r="G41" s="11" t="s">
        <v>349</v>
      </c>
      <c r="H41" s="11" t="s">
        <v>331</v>
      </c>
      <c r="I41" s="11"/>
      <c r="J41" s="11" t="s">
        <v>429</v>
      </c>
    </row>
    <row r="42" spans="1:10">
      <c r="A42" s="11" t="s">
        <v>96</v>
      </c>
      <c r="B42" s="11" t="s">
        <v>97</v>
      </c>
      <c r="C42" s="11" t="s">
        <v>414</v>
      </c>
      <c r="D42" s="11" t="s">
        <v>415</v>
      </c>
      <c r="E42" s="11" t="s">
        <v>430</v>
      </c>
      <c r="F42" s="11" t="s">
        <v>431</v>
      </c>
      <c r="G42" s="11" t="s">
        <v>349</v>
      </c>
      <c r="H42" s="11" t="s">
        <v>331</v>
      </c>
      <c r="I42" s="11"/>
      <c r="J42" s="11" t="s">
        <v>432</v>
      </c>
    </row>
    <row r="43" spans="1:10">
      <c r="A43" s="11" t="s">
        <v>98</v>
      </c>
      <c r="B43" s="11" t="s">
        <v>99</v>
      </c>
      <c r="C43" s="11" t="s">
        <v>414</v>
      </c>
      <c r="D43" s="11" t="s">
        <v>415</v>
      </c>
      <c r="E43" s="11" t="s">
        <v>433</v>
      </c>
      <c r="F43" s="11" t="s">
        <v>434</v>
      </c>
      <c r="G43" s="11" t="s">
        <v>349</v>
      </c>
      <c r="H43" s="11" t="s">
        <v>331</v>
      </c>
      <c r="I43" s="11"/>
      <c r="J43" s="11" t="s">
        <v>435</v>
      </c>
    </row>
    <row r="44" spans="1:10">
      <c r="A44" s="11" t="s">
        <v>100</v>
      </c>
      <c r="B44" s="11" t="s">
        <v>101</v>
      </c>
      <c r="C44" s="11" t="s">
        <v>414</v>
      </c>
      <c r="D44" s="11" t="s">
        <v>415</v>
      </c>
      <c r="E44" s="11" t="s">
        <v>436</v>
      </c>
      <c r="F44" s="11" t="s">
        <v>437</v>
      </c>
      <c r="G44" s="11" t="s">
        <v>349</v>
      </c>
      <c r="H44" s="11" t="s">
        <v>331</v>
      </c>
      <c r="I44" s="11"/>
      <c r="J44" s="11" t="s">
        <v>438</v>
      </c>
    </row>
    <row r="45" spans="1:10">
      <c r="A45" s="11" t="s">
        <v>102</v>
      </c>
      <c r="B45" s="11" t="s">
        <v>103</v>
      </c>
      <c r="C45" s="11" t="s">
        <v>414</v>
      </c>
      <c r="D45" s="11" t="s">
        <v>415</v>
      </c>
      <c r="E45" s="11" t="s">
        <v>436</v>
      </c>
      <c r="F45" s="11" t="s">
        <v>439</v>
      </c>
      <c r="G45" s="11" t="s">
        <v>349</v>
      </c>
      <c r="H45" s="11" t="s">
        <v>331</v>
      </c>
      <c r="I45" s="11"/>
      <c r="J45" s="11" t="s">
        <v>440</v>
      </c>
    </row>
    <row r="46" spans="1:10">
      <c r="A46" s="11" t="s">
        <v>104</v>
      </c>
      <c r="B46" s="11" t="s">
        <v>105</v>
      </c>
      <c r="C46" s="11" t="s">
        <v>414</v>
      </c>
      <c r="D46" s="11" t="s">
        <v>415</v>
      </c>
      <c r="E46" s="11" t="s">
        <v>436</v>
      </c>
      <c r="F46" s="11" t="s">
        <v>441</v>
      </c>
      <c r="G46" s="11" t="s">
        <v>349</v>
      </c>
      <c r="H46" s="11" t="s">
        <v>331</v>
      </c>
      <c r="I46" s="11"/>
      <c r="J46" s="11" t="s">
        <v>442</v>
      </c>
    </row>
    <row r="47" spans="1:10">
      <c r="A47" s="16" t="s">
        <v>106</v>
      </c>
      <c r="B47" s="16" t="s">
        <v>107</v>
      </c>
      <c r="C47" s="16" t="s">
        <v>414</v>
      </c>
      <c r="D47" s="16" t="s">
        <v>415</v>
      </c>
      <c r="E47" s="16" t="s">
        <v>443</v>
      </c>
      <c r="F47" s="16" t="s">
        <v>444</v>
      </c>
      <c r="G47" s="16" t="s">
        <v>349</v>
      </c>
      <c r="H47" s="16" t="s">
        <v>331</v>
      </c>
      <c r="I47" s="16" t="s">
        <v>445</v>
      </c>
      <c r="J47" s="16" t="s">
        <v>446</v>
      </c>
    </row>
    <row r="48" spans="1:10">
      <c r="A48" s="11" t="s">
        <v>108</v>
      </c>
      <c r="B48" s="11" t="s">
        <v>109</v>
      </c>
      <c r="C48" s="11" t="s">
        <v>414</v>
      </c>
      <c r="D48" s="11" t="s">
        <v>447</v>
      </c>
      <c r="E48" s="11" t="s">
        <v>421</v>
      </c>
      <c r="F48" s="11" t="s">
        <v>448</v>
      </c>
      <c r="G48" s="11" t="s">
        <v>349</v>
      </c>
      <c r="H48" s="11" t="s">
        <v>331</v>
      </c>
      <c r="I48" s="11"/>
      <c r="J48" s="11" t="s">
        <v>449</v>
      </c>
    </row>
    <row r="49" spans="1:10">
      <c r="A49" s="11" t="s">
        <v>110</v>
      </c>
      <c r="B49" s="11" t="s">
        <v>71</v>
      </c>
      <c r="C49" s="11" t="s">
        <v>414</v>
      </c>
      <c r="D49" s="11" t="s">
        <v>447</v>
      </c>
      <c r="E49" s="11" t="s">
        <v>450</v>
      </c>
      <c r="F49" s="11" t="s">
        <v>451</v>
      </c>
      <c r="G49" s="11" t="s">
        <v>349</v>
      </c>
      <c r="H49" s="11" t="s">
        <v>331</v>
      </c>
      <c r="I49" s="11"/>
      <c r="J49" s="11" t="s">
        <v>452</v>
      </c>
    </row>
    <row r="50" spans="1:10">
      <c r="A50" s="11" t="s">
        <v>111</v>
      </c>
      <c r="B50" s="11" t="s">
        <v>112</v>
      </c>
      <c r="C50" s="11" t="s">
        <v>414</v>
      </c>
      <c r="D50" s="11" t="s">
        <v>447</v>
      </c>
      <c r="E50" s="11" t="s">
        <v>453</v>
      </c>
      <c r="F50" s="11" t="s">
        <v>454</v>
      </c>
      <c r="G50" s="11" t="s">
        <v>349</v>
      </c>
      <c r="H50" s="11" t="s">
        <v>331</v>
      </c>
      <c r="I50" s="11"/>
      <c r="J50" s="11" t="s">
        <v>455</v>
      </c>
    </row>
    <row r="51" spans="1:10">
      <c r="A51" s="11" t="s">
        <v>113</v>
      </c>
      <c r="B51" s="11" t="s">
        <v>114</v>
      </c>
      <c r="C51" s="11" t="s">
        <v>414</v>
      </c>
      <c r="D51" s="11" t="s">
        <v>447</v>
      </c>
      <c r="E51" s="11" t="s">
        <v>456</v>
      </c>
      <c r="F51" s="11" t="s">
        <v>457</v>
      </c>
      <c r="G51" s="11" t="s">
        <v>349</v>
      </c>
      <c r="H51" s="11" t="s">
        <v>331</v>
      </c>
      <c r="I51" s="11"/>
      <c r="J51" s="11" t="s">
        <v>458</v>
      </c>
    </row>
    <row r="52" spans="1:10">
      <c r="A52" s="11" t="s">
        <v>115</v>
      </c>
      <c r="B52" s="11" t="s">
        <v>116</v>
      </c>
      <c r="C52" s="11" t="s">
        <v>414</v>
      </c>
      <c r="D52" s="11" t="s">
        <v>447</v>
      </c>
      <c r="E52" s="11" t="s">
        <v>459</v>
      </c>
      <c r="F52" s="11" t="s">
        <v>460</v>
      </c>
      <c r="G52" s="11" t="s">
        <v>349</v>
      </c>
      <c r="H52" s="11" t="s">
        <v>331</v>
      </c>
      <c r="I52" s="11"/>
      <c r="J52" s="11" t="s">
        <v>461</v>
      </c>
    </row>
    <row r="53" spans="1:10">
      <c r="A53" s="11" t="s">
        <v>117</v>
      </c>
      <c r="B53" s="11" t="s">
        <v>118</v>
      </c>
      <c r="C53" s="11" t="s">
        <v>462</v>
      </c>
      <c r="D53" s="11" t="s">
        <v>462</v>
      </c>
      <c r="E53" s="11" t="s">
        <v>463</v>
      </c>
      <c r="F53" s="11" t="s">
        <v>464</v>
      </c>
      <c r="G53" s="11" t="s">
        <v>349</v>
      </c>
      <c r="H53" s="11" t="s">
        <v>331</v>
      </c>
      <c r="I53" s="11"/>
      <c r="J53" s="11" t="s">
        <v>465</v>
      </c>
    </row>
    <row r="54" spans="1:10">
      <c r="A54" s="11" t="s">
        <v>119</v>
      </c>
      <c r="B54" s="11" t="s">
        <v>120</v>
      </c>
      <c r="C54" s="11" t="s">
        <v>462</v>
      </c>
      <c r="D54" s="11" t="s">
        <v>462</v>
      </c>
      <c r="E54" s="11" t="s">
        <v>466</v>
      </c>
      <c r="F54" s="11" t="s">
        <v>467</v>
      </c>
      <c r="G54" s="11" t="s">
        <v>349</v>
      </c>
      <c r="H54" s="11" t="s">
        <v>331</v>
      </c>
      <c r="I54" s="11"/>
      <c r="J54" s="11" t="s">
        <v>468</v>
      </c>
    </row>
    <row r="55" spans="1:10">
      <c r="A55" s="11" t="s">
        <v>121</v>
      </c>
      <c r="B55" s="11" t="s">
        <v>122</v>
      </c>
      <c r="C55" s="11" t="s">
        <v>462</v>
      </c>
      <c r="D55" s="11" t="s">
        <v>462</v>
      </c>
      <c r="E55" s="11" t="s">
        <v>469</v>
      </c>
      <c r="F55" s="11" t="s">
        <v>470</v>
      </c>
      <c r="G55" s="11" t="s">
        <v>349</v>
      </c>
      <c r="H55" s="11" t="s">
        <v>331</v>
      </c>
      <c r="I55" s="11"/>
      <c r="J55" s="11" t="s">
        <v>471</v>
      </c>
    </row>
    <row r="56" spans="1:10">
      <c r="A56" s="11" t="s">
        <v>123</v>
      </c>
      <c r="B56" s="11" t="s">
        <v>124</v>
      </c>
      <c r="C56" s="11" t="s">
        <v>462</v>
      </c>
      <c r="D56" s="11" t="s">
        <v>462</v>
      </c>
      <c r="E56" s="11" t="s">
        <v>472</v>
      </c>
      <c r="F56" s="11" t="s">
        <v>473</v>
      </c>
      <c r="G56" s="11" t="s">
        <v>349</v>
      </c>
      <c r="H56" s="11" t="s">
        <v>331</v>
      </c>
      <c r="I56" s="11"/>
      <c r="J56" s="11" t="s">
        <v>474</v>
      </c>
    </row>
    <row r="57" spans="1:10">
      <c r="A57" s="11" t="s">
        <v>125</v>
      </c>
      <c r="B57" s="11" t="s">
        <v>126</v>
      </c>
      <c r="C57" s="11" t="s">
        <v>462</v>
      </c>
      <c r="D57" s="11" t="s">
        <v>462</v>
      </c>
      <c r="E57" s="11" t="s">
        <v>475</v>
      </c>
      <c r="F57" s="11" t="s">
        <v>476</v>
      </c>
      <c r="G57" s="11" t="s">
        <v>330</v>
      </c>
      <c r="H57" s="11" t="s">
        <v>331</v>
      </c>
      <c r="I57" s="11"/>
      <c r="J57" s="11" t="s">
        <v>477</v>
      </c>
    </row>
    <row r="58" spans="1:10">
      <c r="A58" s="11" t="s">
        <v>127</v>
      </c>
      <c r="B58" s="11" t="s">
        <v>128</v>
      </c>
      <c r="C58" s="11" t="s">
        <v>462</v>
      </c>
      <c r="D58" s="11" t="s">
        <v>462</v>
      </c>
      <c r="E58" s="11" t="s">
        <v>478</v>
      </c>
      <c r="F58" s="11" t="s">
        <v>479</v>
      </c>
      <c r="G58" s="11" t="s">
        <v>349</v>
      </c>
      <c r="H58" s="11" t="s">
        <v>331</v>
      </c>
      <c r="I58" s="11"/>
      <c r="J58" s="11" t="s">
        <v>480</v>
      </c>
    </row>
    <row r="59" spans="1:10">
      <c r="A59" s="11" t="s">
        <v>129</v>
      </c>
      <c r="B59" s="11" t="s">
        <v>130</v>
      </c>
      <c r="C59" s="11" t="s">
        <v>462</v>
      </c>
      <c r="D59" s="11" t="s">
        <v>462</v>
      </c>
      <c r="E59" s="11" t="s">
        <v>481</v>
      </c>
      <c r="F59" s="11" t="s">
        <v>482</v>
      </c>
      <c r="G59" s="11" t="s">
        <v>349</v>
      </c>
      <c r="H59" s="11" t="s">
        <v>331</v>
      </c>
      <c r="I59" s="11"/>
      <c r="J59" s="11" t="s">
        <v>483</v>
      </c>
    </row>
    <row r="60" spans="1:10">
      <c r="A60" s="11" t="s">
        <v>131</v>
      </c>
      <c r="B60" s="11" t="s">
        <v>132</v>
      </c>
      <c r="C60" s="11" t="s">
        <v>484</v>
      </c>
      <c r="D60" s="11" t="s">
        <v>485</v>
      </c>
      <c r="E60" s="11" t="s">
        <v>486</v>
      </c>
      <c r="F60" s="11" t="s">
        <v>487</v>
      </c>
      <c r="G60" s="11" t="s">
        <v>349</v>
      </c>
      <c r="H60" s="11" t="s">
        <v>331</v>
      </c>
      <c r="I60" s="11"/>
      <c r="J60" s="11" t="s">
        <v>488</v>
      </c>
    </row>
    <row r="61" spans="1:10">
      <c r="A61" s="11" t="s">
        <v>133</v>
      </c>
      <c r="B61" s="11" t="s">
        <v>134</v>
      </c>
      <c r="C61" s="11" t="s">
        <v>484</v>
      </c>
      <c r="D61" s="11" t="s">
        <v>485</v>
      </c>
      <c r="E61" s="11" t="s">
        <v>489</v>
      </c>
      <c r="F61" s="11" t="s">
        <v>490</v>
      </c>
      <c r="G61" s="11" t="s">
        <v>349</v>
      </c>
      <c r="H61" s="11" t="s">
        <v>331</v>
      </c>
      <c r="I61" s="11"/>
      <c r="J61" s="11" t="s">
        <v>491</v>
      </c>
    </row>
    <row r="62" spans="1:10">
      <c r="A62" s="11" t="s">
        <v>135</v>
      </c>
      <c r="B62" s="11" t="s">
        <v>136</v>
      </c>
      <c r="C62" s="11" t="s">
        <v>484</v>
      </c>
      <c r="D62" s="11" t="s">
        <v>485</v>
      </c>
      <c r="E62" s="11" t="s">
        <v>489</v>
      </c>
      <c r="F62" s="11" t="s">
        <v>492</v>
      </c>
      <c r="G62" s="11" t="s">
        <v>349</v>
      </c>
      <c r="H62" s="11" t="s">
        <v>331</v>
      </c>
      <c r="I62" s="11"/>
      <c r="J62" s="11" t="s">
        <v>493</v>
      </c>
    </row>
    <row r="63" spans="1:10">
      <c r="A63" s="11" t="s">
        <v>137</v>
      </c>
      <c r="B63" s="11" t="s">
        <v>138</v>
      </c>
      <c r="C63" s="11" t="s">
        <v>484</v>
      </c>
      <c r="D63" s="11" t="s">
        <v>485</v>
      </c>
      <c r="E63" s="11" t="s">
        <v>489</v>
      </c>
      <c r="F63" s="11" t="s">
        <v>494</v>
      </c>
      <c r="G63" s="11" t="s">
        <v>349</v>
      </c>
      <c r="H63" s="11" t="s">
        <v>331</v>
      </c>
      <c r="I63" s="11"/>
      <c r="J63" s="11" t="s">
        <v>495</v>
      </c>
    </row>
    <row r="64" spans="1:10">
      <c r="A64" s="11" t="s">
        <v>139</v>
      </c>
      <c r="B64" s="11" t="s">
        <v>140</v>
      </c>
      <c r="C64" s="11" t="s">
        <v>484</v>
      </c>
      <c r="D64" s="11" t="s">
        <v>485</v>
      </c>
      <c r="E64" s="11" t="s">
        <v>496</v>
      </c>
      <c r="F64" s="11" t="s">
        <v>497</v>
      </c>
      <c r="G64" s="11" t="s">
        <v>349</v>
      </c>
      <c r="H64" s="11" t="s">
        <v>331</v>
      </c>
      <c r="I64" s="11"/>
      <c r="J64" s="11" t="s">
        <v>498</v>
      </c>
    </row>
    <row r="65" spans="1:10">
      <c r="A65" s="11" t="s">
        <v>141</v>
      </c>
      <c r="B65" s="11" t="s">
        <v>142</v>
      </c>
      <c r="C65" s="11" t="s">
        <v>484</v>
      </c>
      <c r="D65" s="11" t="s">
        <v>485</v>
      </c>
      <c r="E65" s="11" t="s">
        <v>499</v>
      </c>
      <c r="F65" s="11" t="s">
        <v>500</v>
      </c>
      <c r="G65" s="11" t="s">
        <v>349</v>
      </c>
      <c r="H65" s="11" t="s">
        <v>331</v>
      </c>
      <c r="I65" s="11"/>
      <c r="J65" s="11" t="s">
        <v>501</v>
      </c>
    </row>
    <row r="66" spans="1:10">
      <c r="A66" s="11" t="s">
        <v>143</v>
      </c>
      <c r="B66" s="11" t="s">
        <v>144</v>
      </c>
      <c r="C66" s="11" t="s">
        <v>484</v>
      </c>
      <c r="D66" s="11" t="s">
        <v>485</v>
      </c>
      <c r="E66" s="11" t="s">
        <v>502</v>
      </c>
      <c r="F66" s="11" t="s">
        <v>503</v>
      </c>
      <c r="G66" s="11" t="s">
        <v>330</v>
      </c>
      <c r="H66" s="11" t="s">
        <v>331</v>
      </c>
      <c r="I66" s="11"/>
      <c r="J66" s="11" t="s">
        <v>504</v>
      </c>
    </row>
    <row r="67" spans="1:10">
      <c r="A67" s="11" t="s">
        <v>145</v>
      </c>
      <c r="B67" s="11" t="s">
        <v>146</v>
      </c>
      <c r="C67" s="11" t="s">
        <v>484</v>
      </c>
      <c r="D67" s="11" t="s">
        <v>485</v>
      </c>
      <c r="E67" s="11" t="s">
        <v>502</v>
      </c>
      <c r="F67" s="11" t="s">
        <v>505</v>
      </c>
      <c r="G67" s="11" t="s">
        <v>330</v>
      </c>
      <c r="H67" s="11" t="s">
        <v>331</v>
      </c>
      <c r="I67" s="11"/>
      <c r="J67" s="11" t="s">
        <v>506</v>
      </c>
    </row>
    <row r="68" spans="1:10">
      <c r="A68" s="11" t="s">
        <v>147</v>
      </c>
      <c r="B68" s="11" t="s">
        <v>148</v>
      </c>
      <c r="C68" s="11" t="s">
        <v>507</v>
      </c>
      <c r="D68" s="11" t="s">
        <v>508</v>
      </c>
      <c r="E68" s="11" t="s">
        <v>509</v>
      </c>
      <c r="F68" s="11" t="s">
        <v>510</v>
      </c>
      <c r="G68" s="11" t="s">
        <v>330</v>
      </c>
      <c r="H68" s="11" t="s">
        <v>331</v>
      </c>
      <c r="I68" s="11"/>
      <c r="J68" s="11" t="s">
        <v>511</v>
      </c>
    </row>
    <row r="69" spans="1:10">
      <c r="A69" s="16" t="s">
        <v>149</v>
      </c>
      <c r="B69" s="16" t="s">
        <v>150</v>
      </c>
      <c r="C69" s="16" t="s">
        <v>507</v>
      </c>
      <c r="D69" s="16" t="s">
        <v>508</v>
      </c>
      <c r="E69" s="16" t="s">
        <v>512</v>
      </c>
      <c r="F69" s="16" t="s">
        <v>513</v>
      </c>
      <c r="G69" s="16" t="s">
        <v>330</v>
      </c>
      <c r="H69" s="16" t="s">
        <v>331</v>
      </c>
      <c r="I69" s="16" t="s">
        <v>359</v>
      </c>
      <c r="J69" s="16" t="s">
        <v>514</v>
      </c>
    </row>
    <row r="70" spans="1:10">
      <c r="A70" s="11" t="s">
        <v>151</v>
      </c>
      <c r="B70" s="11" t="s">
        <v>152</v>
      </c>
      <c r="C70" s="11" t="s">
        <v>507</v>
      </c>
      <c r="D70" s="11" t="s">
        <v>508</v>
      </c>
      <c r="E70" s="11" t="s">
        <v>515</v>
      </c>
      <c r="F70" s="11" t="s">
        <v>516</v>
      </c>
      <c r="G70" s="11" t="s">
        <v>330</v>
      </c>
      <c r="H70" s="11" t="s">
        <v>331</v>
      </c>
      <c r="I70" s="11"/>
      <c r="J70" s="11" t="s">
        <v>517</v>
      </c>
    </row>
    <row r="71" spans="1:10">
      <c r="A71" s="11" t="s">
        <v>153</v>
      </c>
      <c r="B71" s="11" t="s">
        <v>154</v>
      </c>
      <c r="C71" s="11" t="s">
        <v>507</v>
      </c>
      <c r="D71" s="11" t="s">
        <v>508</v>
      </c>
      <c r="E71" s="11" t="s">
        <v>518</v>
      </c>
      <c r="F71" s="11" t="s">
        <v>519</v>
      </c>
      <c r="G71" s="11" t="s">
        <v>330</v>
      </c>
      <c r="H71" s="11" t="s">
        <v>331</v>
      </c>
      <c r="I71" s="11"/>
      <c r="J71" s="11" t="s">
        <v>520</v>
      </c>
    </row>
    <row r="72" spans="1:10">
      <c r="A72" s="16" t="s">
        <v>155</v>
      </c>
      <c r="B72" s="16" t="s">
        <v>156</v>
      </c>
      <c r="C72" s="16" t="s">
        <v>507</v>
      </c>
      <c r="D72" s="16" t="s">
        <v>508</v>
      </c>
      <c r="E72" s="16" t="s">
        <v>521</v>
      </c>
      <c r="F72" s="16" t="s">
        <v>522</v>
      </c>
      <c r="G72" s="16" t="s">
        <v>330</v>
      </c>
      <c r="H72" s="16" t="s">
        <v>331</v>
      </c>
      <c r="I72" s="16" t="s">
        <v>359</v>
      </c>
      <c r="J72" s="16" t="s">
        <v>523</v>
      </c>
    </row>
    <row r="73" spans="1:10">
      <c r="A73" s="11" t="s">
        <v>157</v>
      </c>
      <c r="B73" s="11" t="s">
        <v>158</v>
      </c>
      <c r="C73" s="11" t="s">
        <v>507</v>
      </c>
      <c r="D73" s="11" t="s">
        <v>508</v>
      </c>
      <c r="E73" s="11" t="s">
        <v>524</v>
      </c>
      <c r="F73" s="11" t="s">
        <v>525</v>
      </c>
      <c r="G73" s="11" t="s">
        <v>349</v>
      </c>
      <c r="H73" s="11" t="s">
        <v>331</v>
      </c>
      <c r="I73" s="11"/>
      <c r="J73" s="11" t="s">
        <v>526</v>
      </c>
    </row>
    <row r="74" spans="1:10">
      <c r="A74" s="11" t="s">
        <v>159</v>
      </c>
      <c r="B74" s="11" t="s">
        <v>160</v>
      </c>
      <c r="C74" s="11" t="s">
        <v>507</v>
      </c>
      <c r="D74" s="11" t="s">
        <v>508</v>
      </c>
      <c r="E74" s="11" t="s">
        <v>527</v>
      </c>
      <c r="F74" s="11" t="s">
        <v>528</v>
      </c>
      <c r="G74" s="11" t="s">
        <v>349</v>
      </c>
      <c r="H74" s="11" t="s">
        <v>331</v>
      </c>
      <c r="I74" s="11"/>
      <c r="J74" s="11" t="s">
        <v>529</v>
      </c>
    </row>
    <row r="75" spans="1:10">
      <c r="A75" s="11" t="s">
        <v>161</v>
      </c>
      <c r="B75" s="11" t="s">
        <v>162</v>
      </c>
      <c r="C75" s="11" t="s">
        <v>530</v>
      </c>
      <c r="D75" s="11" t="s">
        <v>531</v>
      </c>
      <c r="E75" s="11" t="s">
        <v>532</v>
      </c>
      <c r="F75" s="11" t="s">
        <v>533</v>
      </c>
      <c r="G75" s="11" t="s">
        <v>330</v>
      </c>
      <c r="H75" s="11" t="s">
        <v>331</v>
      </c>
      <c r="I75" s="11"/>
      <c r="J75" s="11" t="s">
        <v>534</v>
      </c>
    </row>
    <row r="76" spans="1:10">
      <c r="A76" s="11" t="s">
        <v>163</v>
      </c>
      <c r="B76" s="11" t="s">
        <v>164</v>
      </c>
      <c r="C76" s="11" t="s">
        <v>530</v>
      </c>
      <c r="D76" s="11" t="s">
        <v>531</v>
      </c>
      <c r="E76" s="11" t="s">
        <v>535</v>
      </c>
      <c r="F76" s="11" t="s">
        <v>536</v>
      </c>
      <c r="G76" s="11" t="s">
        <v>330</v>
      </c>
      <c r="H76" s="11" t="s">
        <v>331</v>
      </c>
      <c r="I76" s="11"/>
      <c r="J76" s="11" t="s">
        <v>537</v>
      </c>
    </row>
    <row r="77" spans="1:10">
      <c r="A77" s="11" t="s">
        <v>165</v>
      </c>
      <c r="B77" s="11" t="s">
        <v>166</v>
      </c>
      <c r="C77" s="11" t="s">
        <v>530</v>
      </c>
      <c r="D77" s="11" t="s">
        <v>531</v>
      </c>
      <c r="E77" s="11" t="s">
        <v>538</v>
      </c>
      <c r="F77" s="11" t="s">
        <v>539</v>
      </c>
      <c r="G77" s="11" t="s">
        <v>330</v>
      </c>
      <c r="H77" s="11" t="s">
        <v>331</v>
      </c>
      <c r="I77" s="11"/>
      <c r="J77" s="11" t="s">
        <v>540</v>
      </c>
    </row>
    <row r="78" spans="1:10">
      <c r="A78" s="11" t="s">
        <v>167</v>
      </c>
      <c r="B78" s="11" t="s">
        <v>168</v>
      </c>
      <c r="C78" s="11" t="s">
        <v>530</v>
      </c>
      <c r="D78" s="11" t="s">
        <v>531</v>
      </c>
      <c r="E78" s="11" t="s">
        <v>541</v>
      </c>
      <c r="F78" s="11" t="s">
        <v>542</v>
      </c>
      <c r="G78" s="11" t="s">
        <v>330</v>
      </c>
      <c r="H78" s="11" t="s">
        <v>331</v>
      </c>
      <c r="I78" s="11"/>
      <c r="J78" s="11" t="s">
        <v>543</v>
      </c>
    </row>
    <row r="79" spans="1:10">
      <c r="A79" s="11" t="s">
        <v>169</v>
      </c>
      <c r="B79" s="11" t="s">
        <v>170</v>
      </c>
      <c r="C79" s="11" t="s">
        <v>530</v>
      </c>
      <c r="D79" s="11" t="s">
        <v>531</v>
      </c>
      <c r="E79" s="11" t="s">
        <v>544</v>
      </c>
      <c r="F79" s="11" t="s">
        <v>545</v>
      </c>
      <c r="G79" s="11" t="s">
        <v>330</v>
      </c>
      <c r="H79" s="11" t="s">
        <v>331</v>
      </c>
      <c r="I79" s="11"/>
      <c r="J79" s="11" t="s">
        <v>546</v>
      </c>
    </row>
    <row r="80" spans="1:10">
      <c r="A80" s="11" t="s">
        <v>171</v>
      </c>
      <c r="B80" s="11" t="s">
        <v>172</v>
      </c>
      <c r="C80" s="11" t="s">
        <v>530</v>
      </c>
      <c r="D80" s="11" t="s">
        <v>531</v>
      </c>
      <c r="E80" s="11" t="s">
        <v>547</v>
      </c>
      <c r="F80" s="11" t="s">
        <v>548</v>
      </c>
      <c r="G80" s="11" t="s">
        <v>330</v>
      </c>
      <c r="H80" s="11" t="s">
        <v>331</v>
      </c>
      <c r="I80" s="11"/>
      <c r="J80" s="11" t="s">
        <v>549</v>
      </c>
    </row>
    <row r="81" spans="1:10">
      <c r="A81" s="11" t="s">
        <v>173</v>
      </c>
      <c r="B81" s="11" t="s">
        <v>174</v>
      </c>
      <c r="C81" s="11" t="s">
        <v>530</v>
      </c>
      <c r="D81" s="11" t="s">
        <v>531</v>
      </c>
      <c r="E81" s="11" t="s">
        <v>550</v>
      </c>
      <c r="F81" s="11" t="s">
        <v>551</v>
      </c>
      <c r="G81" s="11" t="s">
        <v>330</v>
      </c>
      <c r="H81" s="11" t="s">
        <v>331</v>
      </c>
      <c r="I81" s="11"/>
      <c r="J81" s="11" t="s">
        <v>552</v>
      </c>
    </row>
    <row r="82" spans="1:10">
      <c r="A82" s="11" t="s">
        <v>175</v>
      </c>
      <c r="B82" s="11" t="s">
        <v>176</v>
      </c>
      <c r="C82" s="11" t="s">
        <v>530</v>
      </c>
      <c r="D82" s="11" t="s">
        <v>531</v>
      </c>
      <c r="E82" s="11" t="s">
        <v>553</v>
      </c>
      <c r="F82" s="11" t="s">
        <v>554</v>
      </c>
      <c r="G82" s="11" t="s">
        <v>330</v>
      </c>
      <c r="H82" s="11" t="s">
        <v>331</v>
      </c>
      <c r="I82" s="11"/>
      <c r="J82" s="11" t="s">
        <v>555</v>
      </c>
    </row>
    <row r="83" spans="1:10">
      <c r="A83" s="11" t="s">
        <v>177</v>
      </c>
      <c r="B83" s="11" t="s">
        <v>178</v>
      </c>
      <c r="C83" s="11" t="s">
        <v>530</v>
      </c>
      <c r="D83" s="11" t="s">
        <v>531</v>
      </c>
      <c r="E83" s="11" t="s">
        <v>556</v>
      </c>
      <c r="F83" s="11" t="s">
        <v>557</v>
      </c>
      <c r="G83" s="11" t="s">
        <v>330</v>
      </c>
      <c r="H83" s="11" t="s">
        <v>331</v>
      </c>
      <c r="I83" s="11"/>
      <c r="J83" s="11" t="s">
        <v>558</v>
      </c>
    </row>
    <row r="84" spans="1:10">
      <c r="A84" s="11" t="s">
        <v>179</v>
      </c>
      <c r="B84" s="11" t="s">
        <v>180</v>
      </c>
      <c r="C84" s="11" t="s">
        <v>530</v>
      </c>
      <c r="D84" s="11" t="s">
        <v>531</v>
      </c>
      <c r="E84" s="11" t="s">
        <v>559</v>
      </c>
      <c r="F84" s="11" t="s">
        <v>560</v>
      </c>
      <c r="G84" s="11" t="s">
        <v>330</v>
      </c>
      <c r="H84" s="11" t="s">
        <v>331</v>
      </c>
      <c r="I84" s="11"/>
      <c r="J84" s="11" t="s">
        <v>561</v>
      </c>
    </row>
    <row r="85" spans="1:10">
      <c r="A85" s="11" t="s">
        <v>181</v>
      </c>
      <c r="B85" s="11" t="s">
        <v>182</v>
      </c>
      <c r="C85" s="11" t="s">
        <v>530</v>
      </c>
      <c r="D85" s="11" t="s">
        <v>531</v>
      </c>
      <c r="E85" s="11" t="s">
        <v>562</v>
      </c>
      <c r="F85" s="11" t="s">
        <v>563</v>
      </c>
      <c r="G85" s="11" t="s">
        <v>330</v>
      </c>
      <c r="H85" s="11" t="s">
        <v>331</v>
      </c>
      <c r="I85" s="11"/>
      <c r="J85" s="11" t="s">
        <v>564</v>
      </c>
    </row>
    <row r="86" spans="1:10">
      <c r="A86" s="11" t="s">
        <v>183</v>
      </c>
      <c r="B86" s="11" t="s">
        <v>184</v>
      </c>
      <c r="C86" s="11" t="s">
        <v>530</v>
      </c>
      <c r="D86" s="11" t="s">
        <v>531</v>
      </c>
      <c r="E86" s="11" t="s">
        <v>565</v>
      </c>
      <c r="F86" s="11" t="s">
        <v>566</v>
      </c>
      <c r="G86" s="11" t="s">
        <v>330</v>
      </c>
      <c r="H86" s="11" t="s">
        <v>331</v>
      </c>
      <c r="I86" s="11"/>
      <c r="J86" s="11" t="s">
        <v>567</v>
      </c>
    </row>
    <row r="87" spans="1:10">
      <c r="A87" s="11" t="s">
        <v>185</v>
      </c>
      <c r="B87" s="11" t="s">
        <v>186</v>
      </c>
      <c r="C87" s="11" t="s">
        <v>530</v>
      </c>
      <c r="D87" s="11" t="s">
        <v>531</v>
      </c>
      <c r="E87" s="11" t="s">
        <v>568</v>
      </c>
      <c r="F87" s="11" t="s">
        <v>569</v>
      </c>
      <c r="G87" s="11" t="s">
        <v>330</v>
      </c>
      <c r="H87" s="11" t="s">
        <v>331</v>
      </c>
      <c r="I87" s="11"/>
      <c r="J87" s="11" t="s">
        <v>570</v>
      </c>
    </row>
    <row r="88" spans="1:10">
      <c r="A88" s="11" t="s">
        <v>187</v>
      </c>
      <c r="B88" s="11" t="s">
        <v>188</v>
      </c>
      <c r="C88" s="11" t="s">
        <v>530</v>
      </c>
      <c r="D88" s="11" t="s">
        <v>531</v>
      </c>
      <c r="E88" s="11" t="s">
        <v>571</v>
      </c>
      <c r="F88" s="11" t="s">
        <v>572</v>
      </c>
      <c r="G88" s="11" t="s">
        <v>330</v>
      </c>
      <c r="H88" s="11" t="s">
        <v>331</v>
      </c>
      <c r="I88" s="11"/>
      <c r="J88" s="11" t="s">
        <v>573</v>
      </c>
    </row>
    <row r="89" spans="1:10">
      <c r="A89" s="11" t="s">
        <v>189</v>
      </c>
      <c r="B89" s="11" t="s">
        <v>190</v>
      </c>
      <c r="C89" s="11" t="s">
        <v>530</v>
      </c>
      <c r="D89" s="11" t="s">
        <v>531</v>
      </c>
      <c r="E89" s="11" t="s">
        <v>574</v>
      </c>
      <c r="F89" s="11" t="s">
        <v>575</v>
      </c>
      <c r="G89" s="11" t="s">
        <v>330</v>
      </c>
      <c r="H89" s="11" t="s">
        <v>331</v>
      </c>
      <c r="I89" s="11"/>
      <c r="J89" s="11" t="s">
        <v>576</v>
      </c>
    </row>
    <row r="90" spans="1:10">
      <c r="A90" s="11" t="s">
        <v>191</v>
      </c>
      <c r="B90" s="11" t="s">
        <v>192</v>
      </c>
      <c r="C90" s="11" t="s">
        <v>530</v>
      </c>
      <c r="D90" s="11" t="s">
        <v>531</v>
      </c>
      <c r="E90" s="11" t="s">
        <v>577</v>
      </c>
      <c r="F90" s="11" t="s">
        <v>578</v>
      </c>
      <c r="G90" s="11" t="s">
        <v>330</v>
      </c>
      <c r="H90" s="11" t="s">
        <v>331</v>
      </c>
      <c r="I90" s="11"/>
      <c r="J90" s="11" t="s">
        <v>579</v>
      </c>
    </row>
    <row r="91" spans="1:10">
      <c r="A91" s="11" t="s">
        <v>193</v>
      </c>
      <c r="B91" s="11" t="s">
        <v>194</v>
      </c>
      <c r="C91" s="11" t="s">
        <v>530</v>
      </c>
      <c r="D91" s="11" t="s">
        <v>531</v>
      </c>
      <c r="E91" s="11" t="s">
        <v>580</v>
      </c>
      <c r="F91" s="11" t="s">
        <v>581</v>
      </c>
      <c r="G91" s="11" t="s">
        <v>330</v>
      </c>
      <c r="H91" s="11" t="s">
        <v>331</v>
      </c>
      <c r="I91" s="11"/>
      <c r="J91" s="11" t="s">
        <v>582</v>
      </c>
    </row>
    <row r="92" spans="1:10">
      <c r="A92" s="11" t="s">
        <v>195</v>
      </c>
      <c r="B92" s="11" t="s">
        <v>196</v>
      </c>
      <c r="C92" s="11" t="s">
        <v>530</v>
      </c>
      <c r="D92" s="11" t="s">
        <v>531</v>
      </c>
      <c r="E92" s="11" t="s">
        <v>583</v>
      </c>
      <c r="F92" s="11" t="s">
        <v>584</v>
      </c>
      <c r="G92" s="11" t="s">
        <v>330</v>
      </c>
      <c r="H92" s="11" t="s">
        <v>331</v>
      </c>
      <c r="I92" s="11"/>
      <c r="J92" s="11" t="s">
        <v>585</v>
      </c>
    </row>
    <row r="93" spans="1:10">
      <c r="A93" s="11" t="s">
        <v>197</v>
      </c>
      <c r="B93" s="11" t="s">
        <v>198</v>
      </c>
      <c r="C93" s="11" t="s">
        <v>530</v>
      </c>
      <c r="D93" s="11" t="s">
        <v>531</v>
      </c>
      <c r="E93" s="11" t="s">
        <v>586</v>
      </c>
      <c r="F93" s="11" t="s">
        <v>587</v>
      </c>
      <c r="G93" s="11" t="s">
        <v>330</v>
      </c>
      <c r="H93" s="11" t="s">
        <v>331</v>
      </c>
      <c r="I93" s="11"/>
      <c r="J93" s="11" t="s">
        <v>588</v>
      </c>
    </row>
    <row r="94" spans="1:10">
      <c r="A94" s="11" t="s">
        <v>199</v>
      </c>
      <c r="B94" s="11" t="s">
        <v>200</v>
      </c>
      <c r="C94" s="11" t="s">
        <v>530</v>
      </c>
      <c r="D94" s="11" t="s">
        <v>531</v>
      </c>
      <c r="E94" s="11" t="s">
        <v>589</v>
      </c>
      <c r="F94" s="11" t="s">
        <v>590</v>
      </c>
      <c r="G94" s="11" t="s">
        <v>330</v>
      </c>
      <c r="H94" s="11" t="s">
        <v>331</v>
      </c>
      <c r="I94" s="11"/>
      <c r="J94" s="11" t="s">
        <v>591</v>
      </c>
    </row>
    <row r="95" spans="1:10">
      <c r="A95" s="11" t="s">
        <v>201</v>
      </c>
      <c r="B95" s="11" t="s">
        <v>202</v>
      </c>
      <c r="C95" s="11" t="s">
        <v>530</v>
      </c>
      <c r="D95" s="11" t="s">
        <v>531</v>
      </c>
      <c r="E95" s="11" t="s">
        <v>592</v>
      </c>
      <c r="F95" s="11" t="s">
        <v>593</v>
      </c>
      <c r="G95" s="11" t="s">
        <v>330</v>
      </c>
      <c r="H95" s="11" t="s">
        <v>331</v>
      </c>
      <c r="I95" s="11"/>
      <c r="J95" s="11" t="s">
        <v>594</v>
      </c>
    </row>
    <row r="96" spans="1:10">
      <c r="A96" s="11" t="s">
        <v>203</v>
      </c>
      <c r="B96" s="11" t="s">
        <v>204</v>
      </c>
      <c r="C96" s="11" t="s">
        <v>530</v>
      </c>
      <c r="D96" s="11" t="s">
        <v>531</v>
      </c>
      <c r="E96" s="11" t="s">
        <v>595</v>
      </c>
      <c r="F96" s="11" t="s">
        <v>596</v>
      </c>
      <c r="G96" s="11" t="s">
        <v>330</v>
      </c>
      <c r="H96" s="11" t="s">
        <v>331</v>
      </c>
      <c r="I96" s="11"/>
      <c r="J96" s="11" t="s">
        <v>597</v>
      </c>
    </row>
    <row r="97" spans="1:10">
      <c r="A97" s="11" t="s">
        <v>205</v>
      </c>
      <c r="B97" s="11" t="s">
        <v>206</v>
      </c>
      <c r="C97" s="11" t="s">
        <v>530</v>
      </c>
      <c r="D97" s="11" t="s">
        <v>531</v>
      </c>
      <c r="E97" s="11" t="s">
        <v>598</v>
      </c>
      <c r="F97" s="11" t="s">
        <v>599</v>
      </c>
      <c r="G97" s="11" t="s">
        <v>330</v>
      </c>
      <c r="H97" s="11" t="s">
        <v>331</v>
      </c>
      <c r="I97" s="11"/>
      <c r="J97" s="11" t="s">
        <v>600</v>
      </c>
    </row>
    <row r="98" spans="1:10">
      <c r="A98" s="11" t="s">
        <v>207</v>
      </c>
      <c r="B98" s="11" t="s">
        <v>208</v>
      </c>
      <c r="C98" s="11" t="s">
        <v>530</v>
      </c>
      <c r="D98" s="11" t="s">
        <v>531</v>
      </c>
      <c r="E98" s="11" t="s">
        <v>601</v>
      </c>
      <c r="F98" s="11" t="s">
        <v>602</v>
      </c>
      <c r="G98" s="11" t="s">
        <v>330</v>
      </c>
      <c r="H98" s="11" t="s">
        <v>331</v>
      </c>
      <c r="I98" s="11"/>
      <c r="J98" s="11" t="s">
        <v>603</v>
      </c>
    </row>
    <row r="99" spans="1:10">
      <c r="A99" s="11" t="s">
        <v>209</v>
      </c>
      <c r="B99" s="11" t="s">
        <v>210</v>
      </c>
      <c r="C99" s="11" t="s">
        <v>530</v>
      </c>
      <c r="D99" s="11" t="s">
        <v>531</v>
      </c>
      <c r="E99" s="11" t="s">
        <v>604</v>
      </c>
      <c r="F99" s="11" t="s">
        <v>605</v>
      </c>
      <c r="G99" s="11" t="s">
        <v>330</v>
      </c>
      <c r="H99" s="11" t="s">
        <v>331</v>
      </c>
      <c r="I99" s="11"/>
      <c r="J99" s="11" t="s">
        <v>606</v>
      </c>
    </row>
    <row r="100" spans="1:10">
      <c r="A100" s="11" t="s">
        <v>211</v>
      </c>
      <c r="B100" s="11" t="s">
        <v>212</v>
      </c>
      <c r="C100" s="11" t="s">
        <v>530</v>
      </c>
      <c r="D100" s="11" t="s">
        <v>531</v>
      </c>
      <c r="E100" s="11" t="s">
        <v>607</v>
      </c>
      <c r="F100" s="11" t="s">
        <v>608</v>
      </c>
      <c r="G100" s="11" t="s">
        <v>330</v>
      </c>
      <c r="H100" s="11" t="s">
        <v>331</v>
      </c>
      <c r="I100" s="11"/>
      <c r="J100" s="11" t="s">
        <v>609</v>
      </c>
    </row>
    <row r="101" spans="1:10">
      <c r="A101" s="11" t="s">
        <v>213</v>
      </c>
      <c r="B101" s="11" t="s">
        <v>214</v>
      </c>
      <c r="C101" s="11" t="s">
        <v>530</v>
      </c>
      <c r="D101" s="11" t="s">
        <v>531</v>
      </c>
      <c r="E101" s="11" t="s">
        <v>610</v>
      </c>
      <c r="F101" s="11" t="s">
        <v>611</v>
      </c>
      <c r="G101" s="11" t="s">
        <v>330</v>
      </c>
      <c r="H101" s="11" t="s">
        <v>331</v>
      </c>
      <c r="I101" s="11"/>
      <c r="J101" s="11" t="s">
        <v>612</v>
      </c>
    </row>
    <row r="102" spans="1:10">
      <c r="A102" s="11" t="s">
        <v>215</v>
      </c>
      <c r="B102" s="11" t="s">
        <v>216</v>
      </c>
      <c r="C102" s="11" t="s">
        <v>530</v>
      </c>
      <c r="D102" s="11" t="s">
        <v>531</v>
      </c>
      <c r="E102" s="11" t="s">
        <v>613</v>
      </c>
      <c r="F102" s="11" t="s">
        <v>614</v>
      </c>
      <c r="G102" s="11" t="s">
        <v>330</v>
      </c>
      <c r="H102" s="11" t="s">
        <v>331</v>
      </c>
      <c r="I102" s="11"/>
      <c r="J102" s="11" t="s">
        <v>615</v>
      </c>
    </row>
    <row r="103" spans="1:10">
      <c r="A103" s="11" t="s">
        <v>217</v>
      </c>
      <c r="B103" s="11" t="s">
        <v>218</v>
      </c>
      <c r="C103" s="11" t="s">
        <v>530</v>
      </c>
      <c r="D103" s="11" t="s">
        <v>531</v>
      </c>
      <c r="E103" s="11" t="s">
        <v>616</v>
      </c>
      <c r="F103" s="11" t="s">
        <v>617</v>
      </c>
      <c r="G103" s="11" t="s">
        <v>330</v>
      </c>
      <c r="H103" s="11" t="s">
        <v>331</v>
      </c>
      <c r="I103" s="11"/>
      <c r="J103" s="11" t="s">
        <v>618</v>
      </c>
    </row>
    <row r="104" spans="1:10">
      <c r="A104" s="11" t="s">
        <v>219</v>
      </c>
      <c r="B104" s="11" t="s">
        <v>220</v>
      </c>
      <c r="C104" s="11" t="s">
        <v>530</v>
      </c>
      <c r="D104" s="11" t="s">
        <v>619</v>
      </c>
      <c r="E104" s="11" t="s">
        <v>620</v>
      </c>
      <c r="F104" s="11" t="s">
        <v>621</v>
      </c>
      <c r="G104" s="11" t="s">
        <v>330</v>
      </c>
      <c r="H104" s="11" t="s">
        <v>331</v>
      </c>
      <c r="I104" s="11"/>
      <c r="J104" s="11" t="s">
        <v>622</v>
      </c>
    </row>
    <row r="105" spans="1:10">
      <c r="A105" s="11" t="s">
        <v>221</v>
      </c>
      <c r="B105" s="11" t="s">
        <v>222</v>
      </c>
      <c r="C105" s="11" t="s">
        <v>623</v>
      </c>
      <c r="D105" s="11" t="s">
        <v>624</v>
      </c>
      <c r="E105" s="11" t="s">
        <v>625</v>
      </c>
      <c r="F105" s="11" t="s">
        <v>626</v>
      </c>
      <c r="G105" s="11" t="s">
        <v>349</v>
      </c>
      <c r="H105" s="11" t="s">
        <v>331</v>
      </c>
      <c r="I105" s="11"/>
      <c r="J105" s="11" t="s">
        <v>627</v>
      </c>
    </row>
    <row r="106" spans="1:10">
      <c r="A106" s="11" t="s">
        <v>223</v>
      </c>
      <c r="B106" s="11" t="s">
        <v>224</v>
      </c>
      <c r="C106" s="11" t="s">
        <v>623</v>
      </c>
      <c r="D106" s="11" t="s">
        <v>624</v>
      </c>
      <c r="E106" s="11" t="s">
        <v>628</v>
      </c>
      <c r="F106" s="11" t="s">
        <v>629</v>
      </c>
      <c r="G106" s="11" t="s">
        <v>349</v>
      </c>
      <c r="H106" s="11" t="s">
        <v>331</v>
      </c>
      <c r="I106" s="11"/>
      <c r="J106" s="11" t="s">
        <v>630</v>
      </c>
    </row>
    <row r="107" spans="1:10">
      <c r="A107" s="11" t="s">
        <v>225</v>
      </c>
      <c r="B107" s="11" t="s">
        <v>226</v>
      </c>
      <c r="C107" s="11" t="s">
        <v>623</v>
      </c>
      <c r="D107" s="11" t="s">
        <v>624</v>
      </c>
      <c r="E107" s="11" t="s">
        <v>631</v>
      </c>
      <c r="F107" s="11" t="s">
        <v>632</v>
      </c>
      <c r="G107" s="11" t="s">
        <v>349</v>
      </c>
      <c r="H107" s="11" t="s">
        <v>331</v>
      </c>
      <c r="I107" s="11"/>
      <c r="J107" s="11" t="s">
        <v>633</v>
      </c>
    </row>
    <row r="108" spans="1:10">
      <c r="A108" s="11" t="s">
        <v>227</v>
      </c>
      <c r="B108" s="11" t="s">
        <v>228</v>
      </c>
      <c r="C108" s="11" t="s">
        <v>623</v>
      </c>
      <c r="D108" s="11" t="s">
        <v>624</v>
      </c>
      <c r="E108" s="11" t="s">
        <v>634</v>
      </c>
      <c r="F108" s="11" t="s">
        <v>635</v>
      </c>
      <c r="G108" s="11" t="s">
        <v>349</v>
      </c>
      <c r="H108" s="11" t="s">
        <v>331</v>
      </c>
      <c r="I108" s="11"/>
      <c r="J108" s="11" t="s">
        <v>636</v>
      </c>
    </row>
    <row r="109" spans="1:10">
      <c r="A109" s="11" t="s">
        <v>229</v>
      </c>
      <c r="B109" s="11" t="s">
        <v>230</v>
      </c>
      <c r="C109" s="11" t="s">
        <v>623</v>
      </c>
      <c r="D109" s="11" t="s">
        <v>624</v>
      </c>
      <c r="E109" s="11" t="s">
        <v>623</v>
      </c>
      <c r="F109" s="11" t="s">
        <v>637</v>
      </c>
      <c r="G109" s="11" t="s">
        <v>349</v>
      </c>
      <c r="H109" s="11" t="s">
        <v>331</v>
      </c>
      <c r="I109" s="11"/>
      <c r="J109" s="11" t="s">
        <v>638</v>
      </c>
    </row>
    <row r="110" spans="1:10">
      <c r="A110" s="11" t="s">
        <v>231</v>
      </c>
      <c r="B110" s="11" t="s">
        <v>232</v>
      </c>
      <c r="C110" s="11" t="s">
        <v>639</v>
      </c>
      <c r="D110" s="11" t="s">
        <v>640</v>
      </c>
      <c r="E110" s="11" t="s">
        <v>641</v>
      </c>
      <c r="F110" s="11" t="s">
        <v>642</v>
      </c>
      <c r="G110" s="11" t="s">
        <v>330</v>
      </c>
      <c r="H110" s="11" t="s">
        <v>331</v>
      </c>
      <c r="I110" s="11"/>
      <c r="J110" s="11" t="s">
        <v>643</v>
      </c>
    </row>
    <row r="111" spans="1:10">
      <c r="A111" s="11" t="s">
        <v>233</v>
      </c>
      <c r="B111" s="11" t="s">
        <v>234</v>
      </c>
      <c r="C111" s="11" t="s">
        <v>639</v>
      </c>
      <c r="D111" s="11" t="s">
        <v>644</v>
      </c>
      <c r="E111" s="11" t="s">
        <v>645</v>
      </c>
      <c r="F111" s="11" t="s">
        <v>646</v>
      </c>
      <c r="G111" s="11" t="s">
        <v>330</v>
      </c>
      <c r="H111" s="11" t="s">
        <v>331</v>
      </c>
      <c r="I111" s="11"/>
      <c r="J111" s="11" t="s">
        <v>647</v>
      </c>
    </row>
    <row r="112" spans="1:10">
      <c r="A112" s="11" t="s">
        <v>235</v>
      </c>
      <c r="B112" s="11" t="s">
        <v>236</v>
      </c>
      <c r="C112" s="11" t="s">
        <v>639</v>
      </c>
      <c r="D112" s="11" t="s">
        <v>644</v>
      </c>
      <c r="E112" s="11" t="s">
        <v>648</v>
      </c>
      <c r="F112" s="11" t="s">
        <v>649</v>
      </c>
      <c r="G112" s="11" t="s">
        <v>330</v>
      </c>
      <c r="H112" s="11" t="s">
        <v>331</v>
      </c>
      <c r="I112" s="11"/>
      <c r="J112" s="11" t="s">
        <v>650</v>
      </c>
    </row>
    <row r="113" spans="1:10">
      <c r="A113" s="11" t="s">
        <v>237</v>
      </c>
      <c r="B113" s="11" t="s">
        <v>238</v>
      </c>
      <c r="C113" s="11" t="s">
        <v>639</v>
      </c>
      <c r="D113" s="11" t="s">
        <v>644</v>
      </c>
      <c r="E113" s="11" t="s">
        <v>639</v>
      </c>
      <c r="F113" s="11" t="s">
        <v>651</v>
      </c>
      <c r="G113" s="11" t="s">
        <v>330</v>
      </c>
      <c r="H113" s="11" t="s">
        <v>331</v>
      </c>
      <c r="I113" s="11"/>
      <c r="J113" s="11" t="s">
        <v>652</v>
      </c>
    </row>
    <row r="114" spans="1:10">
      <c r="A114" s="11" t="s">
        <v>239</v>
      </c>
      <c r="B114" s="11" t="s">
        <v>240</v>
      </c>
      <c r="C114" s="11" t="s">
        <v>653</v>
      </c>
      <c r="D114" s="11" t="s">
        <v>654</v>
      </c>
      <c r="E114" s="11" t="s">
        <v>654</v>
      </c>
      <c r="F114" s="11" t="s">
        <v>655</v>
      </c>
      <c r="G114" s="11" t="s">
        <v>330</v>
      </c>
      <c r="H114" s="11" t="s">
        <v>331</v>
      </c>
      <c r="I114" s="11"/>
      <c r="J114" s="11" t="s">
        <v>656</v>
      </c>
    </row>
  </sheetData>
  <autoFilter ref="A4:J114" xr:uid="{00000000-0009-0000-0000-000002000000}"/>
  <mergeCells count="2">
    <mergeCell ref="A1:J1"/>
    <mergeCell ref="A2:J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F111"/>
  <sheetViews>
    <sheetView workbookViewId="0"/>
  </sheetViews>
  <sheetFormatPr defaultRowHeight="15"/>
  <cols>
    <col min="1" max="1" width="18" customWidth="1"/>
    <col min="2" max="2" width="40" customWidth="1"/>
    <col min="3" max="3" width="20" customWidth="1"/>
    <col min="4" max="4" width="42" customWidth="1"/>
    <col min="5" max="5" width="2" customWidth="1"/>
    <col min="6" max="6" width="20" customWidth="1"/>
  </cols>
  <sheetData>
    <row r="1" spans="1:6">
      <c r="A1" t="s">
        <v>318</v>
      </c>
      <c r="B1" t="s">
        <v>319</v>
      </c>
      <c r="C1" t="s">
        <v>320</v>
      </c>
      <c r="D1" t="s">
        <v>7</v>
      </c>
      <c r="F1" t="s">
        <v>657</v>
      </c>
    </row>
    <row r="2" spans="1:6">
      <c r="A2" t="s">
        <v>17</v>
      </c>
      <c r="B2" t="s">
        <v>18</v>
      </c>
      <c r="C2" t="s">
        <v>326</v>
      </c>
      <c r="D2" t="s">
        <v>329</v>
      </c>
      <c r="F2" t="s">
        <v>326</v>
      </c>
    </row>
    <row r="3" spans="1:6">
      <c r="A3" t="s">
        <v>21</v>
      </c>
      <c r="B3" t="s">
        <v>22</v>
      </c>
      <c r="C3" t="s">
        <v>326</v>
      </c>
      <c r="D3" t="s">
        <v>333</v>
      </c>
      <c r="F3" t="s">
        <v>507</v>
      </c>
    </row>
    <row r="4" spans="1:6">
      <c r="A4" t="s">
        <v>24</v>
      </c>
      <c r="B4" t="s">
        <v>25</v>
      </c>
      <c r="C4" t="s">
        <v>326</v>
      </c>
      <c r="D4" t="s">
        <v>335</v>
      </c>
      <c r="F4" t="s">
        <v>462</v>
      </c>
    </row>
    <row r="5" spans="1:6">
      <c r="A5" t="s">
        <v>27</v>
      </c>
      <c r="B5" t="s">
        <v>28</v>
      </c>
      <c r="C5" t="s">
        <v>326</v>
      </c>
      <c r="D5" t="s">
        <v>335</v>
      </c>
      <c r="F5" t="s">
        <v>530</v>
      </c>
    </row>
    <row r="6" spans="1:6">
      <c r="A6" t="s">
        <v>30</v>
      </c>
      <c r="B6" t="s">
        <v>31</v>
      </c>
      <c r="C6" t="s">
        <v>326</v>
      </c>
      <c r="D6" t="s">
        <v>335</v>
      </c>
      <c r="F6" t="s">
        <v>653</v>
      </c>
    </row>
    <row r="7" spans="1:6">
      <c r="A7" t="s">
        <v>32</v>
      </c>
      <c r="B7" t="s">
        <v>33</v>
      </c>
      <c r="C7" t="s">
        <v>326</v>
      </c>
      <c r="D7" t="s">
        <v>335</v>
      </c>
      <c r="F7" t="s">
        <v>414</v>
      </c>
    </row>
    <row r="8" spans="1:6">
      <c r="A8" t="s">
        <v>34</v>
      </c>
      <c r="B8" t="s">
        <v>35</v>
      </c>
      <c r="C8" t="s">
        <v>326</v>
      </c>
      <c r="D8" t="s">
        <v>340</v>
      </c>
      <c r="F8" t="s">
        <v>639</v>
      </c>
    </row>
    <row r="9" spans="1:6">
      <c r="A9" t="s">
        <v>36</v>
      </c>
      <c r="B9" t="s">
        <v>37</v>
      </c>
      <c r="C9" t="s">
        <v>326</v>
      </c>
      <c r="D9" t="s">
        <v>342</v>
      </c>
      <c r="F9" t="s">
        <v>623</v>
      </c>
    </row>
    <row r="10" spans="1:6">
      <c r="A10" t="s">
        <v>38</v>
      </c>
      <c r="B10" t="s">
        <v>39</v>
      </c>
      <c r="C10" t="s">
        <v>326</v>
      </c>
      <c r="D10" t="s">
        <v>345</v>
      </c>
      <c r="F10" t="s">
        <v>484</v>
      </c>
    </row>
    <row r="11" spans="1:6">
      <c r="A11" t="s">
        <v>40</v>
      </c>
      <c r="B11" t="s">
        <v>41</v>
      </c>
      <c r="C11" t="s">
        <v>326</v>
      </c>
      <c r="D11" t="s">
        <v>348</v>
      </c>
    </row>
    <row r="12" spans="1:6">
      <c r="A12" t="s">
        <v>42</v>
      </c>
      <c r="B12" t="s">
        <v>43</v>
      </c>
      <c r="C12" t="s">
        <v>326</v>
      </c>
      <c r="D12" t="s">
        <v>352</v>
      </c>
    </row>
    <row r="13" spans="1:6">
      <c r="A13" t="s">
        <v>44</v>
      </c>
      <c r="B13" t="s">
        <v>45</v>
      </c>
      <c r="C13" t="s">
        <v>326</v>
      </c>
      <c r="D13" t="s">
        <v>355</v>
      </c>
    </row>
    <row r="14" spans="1:6">
      <c r="A14" t="s">
        <v>46</v>
      </c>
      <c r="B14" t="s">
        <v>47</v>
      </c>
      <c r="C14" t="s">
        <v>326</v>
      </c>
      <c r="D14" t="s">
        <v>358</v>
      </c>
    </row>
    <row r="15" spans="1:6">
      <c r="A15" t="s">
        <v>48</v>
      </c>
      <c r="B15" t="s">
        <v>49</v>
      </c>
      <c r="C15" t="s">
        <v>326</v>
      </c>
      <c r="D15" t="s">
        <v>362</v>
      </c>
    </row>
    <row r="16" spans="1:6">
      <c r="A16" t="s">
        <v>50</v>
      </c>
      <c r="B16" t="s">
        <v>51</v>
      </c>
      <c r="C16" t="s">
        <v>326</v>
      </c>
      <c r="D16" t="s">
        <v>365</v>
      </c>
    </row>
    <row r="17" spans="1:4">
      <c r="A17" t="s">
        <v>52</v>
      </c>
      <c r="B17" t="s">
        <v>53</v>
      </c>
      <c r="C17" t="s">
        <v>326</v>
      </c>
      <c r="D17" t="s">
        <v>367</v>
      </c>
    </row>
    <row r="18" spans="1:4">
      <c r="A18" t="s">
        <v>54</v>
      </c>
      <c r="B18" t="s">
        <v>55</v>
      </c>
      <c r="C18" t="s">
        <v>326</v>
      </c>
      <c r="D18" t="s">
        <v>370</v>
      </c>
    </row>
    <row r="19" spans="1:4">
      <c r="A19" t="s">
        <v>56</v>
      </c>
      <c r="B19" t="s">
        <v>57</v>
      </c>
      <c r="C19" t="s">
        <v>326</v>
      </c>
      <c r="D19" t="s">
        <v>373</v>
      </c>
    </row>
    <row r="20" spans="1:4">
      <c r="A20" t="s">
        <v>58</v>
      </c>
      <c r="B20" t="s">
        <v>59</v>
      </c>
      <c r="C20" t="s">
        <v>326</v>
      </c>
      <c r="D20" t="s">
        <v>376</v>
      </c>
    </row>
    <row r="21" spans="1:4">
      <c r="A21" t="s">
        <v>60</v>
      </c>
      <c r="B21" t="s">
        <v>61</v>
      </c>
      <c r="C21" t="s">
        <v>326</v>
      </c>
      <c r="D21" t="s">
        <v>379</v>
      </c>
    </row>
    <row r="22" spans="1:4">
      <c r="A22" t="s">
        <v>62</v>
      </c>
      <c r="B22" t="s">
        <v>63</v>
      </c>
      <c r="C22" t="s">
        <v>326</v>
      </c>
      <c r="D22" t="s">
        <v>382</v>
      </c>
    </row>
    <row r="23" spans="1:4">
      <c r="A23" t="s">
        <v>64</v>
      </c>
      <c r="B23" t="s">
        <v>65</v>
      </c>
      <c r="C23" t="s">
        <v>326</v>
      </c>
      <c r="D23" t="s">
        <v>384</v>
      </c>
    </row>
    <row r="24" spans="1:4">
      <c r="A24" t="s">
        <v>66</v>
      </c>
      <c r="B24" t="s">
        <v>67</v>
      </c>
      <c r="C24" t="s">
        <v>326</v>
      </c>
      <c r="D24" t="s">
        <v>388</v>
      </c>
    </row>
    <row r="25" spans="1:4">
      <c r="A25" t="s">
        <v>68</v>
      </c>
      <c r="B25" t="s">
        <v>69</v>
      </c>
      <c r="C25" t="s">
        <v>326</v>
      </c>
      <c r="D25" t="s">
        <v>392</v>
      </c>
    </row>
    <row r="26" spans="1:4">
      <c r="A26" t="s">
        <v>70</v>
      </c>
      <c r="B26" t="s">
        <v>71</v>
      </c>
      <c r="C26" t="s">
        <v>326</v>
      </c>
      <c r="D26" t="s">
        <v>395</v>
      </c>
    </row>
    <row r="27" spans="1:4">
      <c r="A27" t="s">
        <v>72</v>
      </c>
      <c r="B27" t="s">
        <v>73</v>
      </c>
      <c r="C27" t="s">
        <v>326</v>
      </c>
      <c r="D27" t="s">
        <v>398</v>
      </c>
    </row>
    <row r="28" spans="1:4">
      <c r="A28" t="s">
        <v>74</v>
      </c>
      <c r="B28" t="s">
        <v>75</v>
      </c>
      <c r="C28" t="s">
        <v>326</v>
      </c>
      <c r="D28" t="s">
        <v>401</v>
      </c>
    </row>
    <row r="29" spans="1:4">
      <c r="A29" t="s">
        <v>76</v>
      </c>
      <c r="B29" t="s">
        <v>77</v>
      </c>
      <c r="C29" t="s">
        <v>326</v>
      </c>
      <c r="D29" t="s">
        <v>404</v>
      </c>
    </row>
    <row r="30" spans="1:4">
      <c r="A30" t="s">
        <v>78</v>
      </c>
      <c r="B30" t="s">
        <v>79</v>
      </c>
      <c r="C30" t="s">
        <v>326</v>
      </c>
      <c r="D30" t="s">
        <v>406</v>
      </c>
    </row>
    <row r="31" spans="1:4">
      <c r="A31" t="s">
        <v>80</v>
      </c>
      <c r="B31" t="s">
        <v>81</v>
      </c>
      <c r="C31" t="s">
        <v>326</v>
      </c>
      <c r="D31" t="s">
        <v>408</v>
      </c>
    </row>
    <row r="32" spans="1:4">
      <c r="A32" t="s">
        <v>82</v>
      </c>
      <c r="B32" t="s">
        <v>83</v>
      </c>
      <c r="C32" t="s">
        <v>326</v>
      </c>
      <c r="D32" t="s">
        <v>410</v>
      </c>
    </row>
    <row r="33" spans="1:4">
      <c r="A33" t="s">
        <v>84</v>
      </c>
      <c r="B33" t="s">
        <v>85</v>
      </c>
      <c r="C33" t="s">
        <v>326</v>
      </c>
      <c r="D33" t="s">
        <v>412</v>
      </c>
    </row>
    <row r="34" spans="1:4">
      <c r="A34" t="s">
        <v>86</v>
      </c>
      <c r="B34" t="s">
        <v>87</v>
      </c>
      <c r="C34" t="s">
        <v>414</v>
      </c>
      <c r="D34" t="s">
        <v>417</v>
      </c>
    </row>
    <row r="35" spans="1:4">
      <c r="A35" t="s">
        <v>88</v>
      </c>
      <c r="B35" t="s">
        <v>89</v>
      </c>
      <c r="C35" t="s">
        <v>414</v>
      </c>
      <c r="D35" t="s">
        <v>419</v>
      </c>
    </row>
    <row r="36" spans="1:4">
      <c r="A36" t="s">
        <v>90</v>
      </c>
      <c r="B36" t="s">
        <v>91</v>
      </c>
      <c r="C36" t="s">
        <v>414</v>
      </c>
      <c r="D36" t="s">
        <v>422</v>
      </c>
    </row>
    <row r="37" spans="1:4">
      <c r="A37" t="s">
        <v>92</v>
      </c>
      <c r="B37" t="s">
        <v>93</v>
      </c>
      <c r="C37" t="s">
        <v>414</v>
      </c>
      <c r="D37" t="s">
        <v>425</v>
      </c>
    </row>
    <row r="38" spans="1:4">
      <c r="A38" t="s">
        <v>94</v>
      </c>
      <c r="B38" t="s">
        <v>95</v>
      </c>
      <c r="C38" t="s">
        <v>414</v>
      </c>
      <c r="D38" t="s">
        <v>428</v>
      </c>
    </row>
    <row r="39" spans="1:4">
      <c r="A39" t="s">
        <v>96</v>
      </c>
      <c r="B39" t="s">
        <v>97</v>
      </c>
      <c r="C39" t="s">
        <v>414</v>
      </c>
      <c r="D39" t="s">
        <v>431</v>
      </c>
    </row>
    <row r="40" spans="1:4">
      <c r="A40" t="s">
        <v>98</v>
      </c>
      <c r="B40" t="s">
        <v>99</v>
      </c>
      <c r="C40" t="s">
        <v>414</v>
      </c>
      <c r="D40" t="s">
        <v>434</v>
      </c>
    </row>
    <row r="41" spans="1:4">
      <c r="A41" t="s">
        <v>100</v>
      </c>
      <c r="B41" t="s">
        <v>101</v>
      </c>
      <c r="C41" t="s">
        <v>414</v>
      </c>
      <c r="D41" t="s">
        <v>437</v>
      </c>
    </row>
    <row r="42" spans="1:4">
      <c r="A42" t="s">
        <v>102</v>
      </c>
      <c r="B42" t="s">
        <v>103</v>
      </c>
      <c r="C42" t="s">
        <v>414</v>
      </c>
      <c r="D42" t="s">
        <v>439</v>
      </c>
    </row>
    <row r="43" spans="1:4">
      <c r="A43" t="s">
        <v>104</v>
      </c>
      <c r="B43" t="s">
        <v>105</v>
      </c>
      <c r="C43" t="s">
        <v>414</v>
      </c>
      <c r="D43" t="s">
        <v>441</v>
      </c>
    </row>
    <row r="44" spans="1:4">
      <c r="A44" t="s">
        <v>106</v>
      </c>
      <c r="B44" t="s">
        <v>107</v>
      </c>
      <c r="C44" t="s">
        <v>414</v>
      </c>
      <c r="D44" t="s">
        <v>444</v>
      </c>
    </row>
    <row r="45" spans="1:4">
      <c r="A45" t="s">
        <v>108</v>
      </c>
      <c r="B45" t="s">
        <v>109</v>
      </c>
      <c r="C45" t="s">
        <v>414</v>
      </c>
      <c r="D45" t="s">
        <v>448</v>
      </c>
    </row>
    <row r="46" spans="1:4">
      <c r="A46" t="s">
        <v>110</v>
      </c>
      <c r="B46" t="s">
        <v>71</v>
      </c>
      <c r="C46" t="s">
        <v>414</v>
      </c>
      <c r="D46" t="s">
        <v>451</v>
      </c>
    </row>
    <row r="47" spans="1:4">
      <c r="A47" t="s">
        <v>111</v>
      </c>
      <c r="B47" t="s">
        <v>112</v>
      </c>
      <c r="C47" t="s">
        <v>414</v>
      </c>
      <c r="D47" t="s">
        <v>454</v>
      </c>
    </row>
    <row r="48" spans="1:4">
      <c r="A48" t="s">
        <v>113</v>
      </c>
      <c r="B48" t="s">
        <v>114</v>
      </c>
      <c r="C48" t="s">
        <v>414</v>
      </c>
      <c r="D48" t="s">
        <v>457</v>
      </c>
    </row>
    <row r="49" spans="1:4">
      <c r="A49" t="s">
        <v>115</v>
      </c>
      <c r="B49" t="s">
        <v>116</v>
      </c>
      <c r="C49" t="s">
        <v>414</v>
      </c>
      <c r="D49" t="s">
        <v>460</v>
      </c>
    </row>
    <row r="50" spans="1:4">
      <c r="A50" t="s">
        <v>117</v>
      </c>
      <c r="B50" t="s">
        <v>118</v>
      </c>
      <c r="C50" t="s">
        <v>462</v>
      </c>
      <c r="D50" t="s">
        <v>464</v>
      </c>
    </row>
    <row r="51" spans="1:4">
      <c r="A51" t="s">
        <v>119</v>
      </c>
      <c r="B51" t="s">
        <v>120</v>
      </c>
      <c r="C51" t="s">
        <v>462</v>
      </c>
      <c r="D51" t="s">
        <v>467</v>
      </c>
    </row>
    <row r="52" spans="1:4">
      <c r="A52" t="s">
        <v>121</v>
      </c>
      <c r="B52" t="s">
        <v>122</v>
      </c>
      <c r="C52" t="s">
        <v>462</v>
      </c>
      <c r="D52" t="s">
        <v>470</v>
      </c>
    </row>
    <row r="53" spans="1:4">
      <c r="A53" t="s">
        <v>123</v>
      </c>
      <c r="B53" t="s">
        <v>124</v>
      </c>
      <c r="C53" t="s">
        <v>462</v>
      </c>
      <c r="D53" t="s">
        <v>473</v>
      </c>
    </row>
    <row r="54" spans="1:4">
      <c r="A54" t="s">
        <v>125</v>
      </c>
      <c r="B54" t="s">
        <v>126</v>
      </c>
      <c r="C54" t="s">
        <v>462</v>
      </c>
      <c r="D54" t="s">
        <v>476</v>
      </c>
    </row>
    <row r="55" spans="1:4">
      <c r="A55" t="s">
        <v>127</v>
      </c>
      <c r="B55" t="s">
        <v>128</v>
      </c>
      <c r="C55" t="s">
        <v>462</v>
      </c>
      <c r="D55" t="s">
        <v>479</v>
      </c>
    </row>
    <row r="56" spans="1:4">
      <c r="A56" t="s">
        <v>129</v>
      </c>
      <c r="B56" t="s">
        <v>130</v>
      </c>
      <c r="C56" t="s">
        <v>462</v>
      </c>
      <c r="D56" t="s">
        <v>482</v>
      </c>
    </row>
    <row r="57" spans="1:4">
      <c r="A57" t="s">
        <v>131</v>
      </c>
      <c r="B57" t="s">
        <v>132</v>
      </c>
      <c r="C57" t="s">
        <v>484</v>
      </c>
      <c r="D57" t="s">
        <v>487</v>
      </c>
    </row>
    <row r="58" spans="1:4">
      <c r="A58" t="s">
        <v>133</v>
      </c>
      <c r="B58" t="s">
        <v>134</v>
      </c>
      <c r="C58" t="s">
        <v>484</v>
      </c>
      <c r="D58" t="s">
        <v>490</v>
      </c>
    </row>
    <row r="59" spans="1:4">
      <c r="A59" t="s">
        <v>135</v>
      </c>
      <c r="B59" t="s">
        <v>136</v>
      </c>
      <c r="C59" t="s">
        <v>484</v>
      </c>
      <c r="D59" t="s">
        <v>492</v>
      </c>
    </row>
    <row r="60" spans="1:4">
      <c r="A60" t="s">
        <v>137</v>
      </c>
      <c r="B60" t="s">
        <v>138</v>
      </c>
      <c r="C60" t="s">
        <v>484</v>
      </c>
      <c r="D60" t="s">
        <v>494</v>
      </c>
    </row>
    <row r="61" spans="1:4">
      <c r="A61" t="s">
        <v>139</v>
      </c>
      <c r="B61" t="s">
        <v>140</v>
      </c>
      <c r="C61" t="s">
        <v>484</v>
      </c>
      <c r="D61" t="s">
        <v>497</v>
      </c>
    </row>
    <row r="62" spans="1:4">
      <c r="A62" t="s">
        <v>141</v>
      </c>
      <c r="B62" t="s">
        <v>142</v>
      </c>
      <c r="C62" t="s">
        <v>484</v>
      </c>
      <c r="D62" t="s">
        <v>500</v>
      </c>
    </row>
    <row r="63" spans="1:4">
      <c r="A63" t="s">
        <v>143</v>
      </c>
      <c r="B63" t="s">
        <v>144</v>
      </c>
      <c r="C63" t="s">
        <v>484</v>
      </c>
      <c r="D63" t="s">
        <v>503</v>
      </c>
    </row>
    <row r="64" spans="1:4">
      <c r="A64" t="s">
        <v>145</v>
      </c>
      <c r="B64" t="s">
        <v>146</v>
      </c>
      <c r="C64" t="s">
        <v>484</v>
      </c>
      <c r="D64" t="s">
        <v>505</v>
      </c>
    </row>
    <row r="65" spans="1:4">
      <c r="A65" t="s">
        <v>147</v>
      </c>
      <c r="B65" t="s">
        <v>148</v>
      </c>
      <c r="C65" t="s">
        <v>507</v>
      </c>
      <c r="D65" t="s">
        <v>510</v>
      </c>
    </row>
    <row r="66" spans="1:4">
      <c r="A66" t="s">
        <v>149</v>
      </c>
      <c r="B66" t="s">
        <v>150</v>
      </c>
      <c r="C66" t="s">
        <v>507</v>
      </c>
      <c r="D66" t="s">
        <v>513</v>
      </c>
    </row>
    <row r="67" spans="1:4">
      <c r="A67" t="s">
        <v>151</v>
      </c>
      <c r="B67" t="s">
        <v>152</v>
      </c>
      <c r="C67" t="s">
        <v>507</v>
      </c>
      <c r="D67" t="s">
        <v>516</v>
      </c>
    </row>
    <row r="68" spans="1:4">
      <c r="A68" t="s">
        <v>153</v>
      </c>
      <c r="B68" t="s">
        <v>154</v>
      </c>
      <c r="C68" t="s">
        <v>507</v>
      </c>
      <c r="D68" t="s">
        <v>519</v>
      </c>
    </row>
    <row r="69" spans="1:4">
      <c r="A69" t="s">
        <v>155</v>
      </c>
      <c r="B69" t="s">
        <v>156</v>
      </c>
      <c r="C69" t="s">
        <v>507</v>
      </c>
      <c r="D69" t="s">
        <v>522</v>
      </c>
    </row>
    <row r="70" spans="1:4">
      <c r="A70" t="s">
        <v>157</v>
      </c>
      <c r="B70" t="s">
        <v>158</v>
      </c>
      <c r="C70" t="s">
        <v>507</v>
      </c>
      <c r="D70" t="s">
        <v>525</v>
      </c>
    </row>
    <row r="71" spans="1:4">
      <c r="A71" t="s">
        <v>159</v>
      </c>
      <c r="B71" t="s">
        <v>160</v>
      </c>
      <c r="C71" t="s">
        <v>507</v>
      </c>
      <c r="D71" t="s">
        <v>528</v>
      </c>
    </row>
    <row r="72" spans="1:4">
      <c r="A72" t="s">
        <v>161</v>
      </c>
      <c r="B72" t="s">
        <v>162</v>
      </c>
      <c r="C72" t="s">
        <v>530</v>
      </c>
      <c r="D72" t="s">
        <v>533</v>
      </c>
    </row>
    <row r="73" spans="1:4">
      <c r="A73" t="s">
        <v>163</v>
      </c>
      <c r="B73" t="s">
        <v>164</v>
      </c>
      <c r="C73" t="s">
        <v>530</v>
      </c>
      <c r="D73" t="s">
        <v>536</v>
      </c>
    </row>
    <row r="74" spans="1:4">
      <c r="A74" t="s">
        <v>165</v>
      </c>
      <c r="B74" t="s">
        <v>166</v>
      </c>
      <c r="C74" t="s">
        <v>530</v>
      </c>
      <c r="D74" t="s">
        <v>539</v>
      </c>
    </row>
    <row r="75" spans="1:4">
      <c r="A75" t="s">
        <v>167</v>
      </c>
      <c r="B75" t="s">
        <v>168</v>
      </c>
      <c r="C75" t="s">
        <v>530</v>
      </c>
      <c r="D75" t="s">
        <v>542</v>
      </c>
    </row>
    <row r="76" spans="1:4">
      <c r="A76" t="s">
        <v>169</v>
      </c>
      <c r="B76" t="s">
        <v>170</v>
      </c>
      <c r="C76" t="s">
        <v>530</v>
      </c>
      <c r="D76" t="s">
        <v>545</v>
      </c>
    </row>
    <row r="77" spans="1:4">
      <c r="A77" t="s">
        <v>171</v>
      </c>
      <c r="B77" t="s">
        <v>172</v>
      </c>
      <c r="C77" t="s">
        <v>530</v>
      </c>
      <c r="D77" t="s">
        <v>548</v>
      </c>
    </row>
    <row r="78" spans="1:4">
      <c r="A78" t="s">
        <v>173</v>
      </c>
      <c r="B78" t="s">
        <v>174</v>
      </c>
      <c r="C78" t="s">
        <v>530</v>
      </c>
      <c r="D78" t="s">
        <v>551</v>
      </c>
    </row>
    <row r="79" spans="1:4">
      <c r="A79" t="s">
        <v>175</v>
      </c>
      <c r="B79" t="s">
        <v>176</v>
      </c>
      <c r="C79" t="s">
        <v>530</v>
      </c>
      <c r="D79" t="s">
        <v>554</v>
      </c>
    </row>
    <row r="80" spans="1:4">
      <c r="A80" t="s">
        <v>177</v>
      </c>
      <c r="B80" t="s">
        <v>178</v>
      </c>
      <c r="C80" t="s">
        <v>530</v>
      </c>
      <c r="D80" t="s">
        <v>557</v>
      </c>
    </row>
    <row r="81" spans="1:4">
      <c r="A81" t="s">
        <v>179</v>
      </c>
      <c r="B81" t="s">
        <v>180</v>
      </c>
      <c r="C81" t="s">
        <v>530</v>
      </c>
      <c r="D81" t="s">
        <v>560</v>
      </c>
    </row>
    <row r="82" spans="1:4">
      <c r="A82" t="s">
        <v>181</v>
      </c>
      <c r="B82" t="s">
        <v>182</v>
      </c>
      <c r="C82" t="s">
        <v>530</v>
      </c>
      <c r="D82" t="s">
        <v>563</v>
      </c>
    </row>
    <row r="83" spans="1:4">
      <c r="A83" t="s">
        <v>183</v>
      </c>
      <c r="B83" t="s">
        <v>184</v>
      </c>
      <c r="C83" t="s">
        <v>530</v>
      </c>
      <c r="D83" t="s">
        <v>566</v>
      </c>
    </row>
    <row r="84" spans="1:4">
      <c r="A84" t="s">
        <v>185</v>
      </c>
      <c r="B84" t="s">
        <v>186</v>
      </c>
      <c r="C84" t="s">
        <v>530</v>
      </c>
      <c r="D84" t="s">
        <v>569</v>
      </c>
    </row>
    <row r="85" spans="1:4">
      <c r="A85" t="s">
        <v>187</v>
      </c>
      <c r="B85" t="s">
        <v>188</v>
      </c>
      <c r="C85" t="s">
        <v>530</v>
      </c>
      <c r="D85" t="s">
        <v>572</v>
      </c>
    </row>
    <row r="86" spans="1:4">
      <c r="A86" t="s">
        <v>189</v>
      </c>
      <c r="B86" t="s">
        <v>190</v>
      </c>
      <c r="C86" t="s">
        <v>530</v>
      </c>
      <c r="D86" t="s">
        <v>575</v>
      </c>
    </row>
    <row r="87" spans="1:4">
      <c r="A87" t="s">
        <v>191</v>
      </c>
      <c r="B87" t="s">
        <v>192</v>
      </c>
      <c r="C87" t="s">
        <v>530</v>
      </c>
      <c r="D87" t="s">
        <v>578</v>
      </c>
    </row>
    <row r="88" spans="1:4">
      <c r="A88" t="s">
        <v>193</v>
      </c>
      <c r="B88" t="s">
        <v>194</v>
      </c>
      <c r="C88" t="s">
        <v>530</v>
      </c>
      <c r="D88" t="s">
        <v>581</v>
      </c>
    </row>
    <row r="89" spans="1:4">
      <c r="A89" t="s">
        <v>195</v>
      </c>
      <c r="B89" t="s">
        <v>196</v>
      </c>
      <c r="C89" t="s">
        <v>530</v>
      </c>
      <c r="D89" t="s">
        <v>584</v>
      </c>
    </row>
    <row r="90" spans="1:4">
      <c r="A90" t="s">
        <v>197</v>
      </c>
      <c r="B90" t="s">
        <v>198</v>
      </c>
      <c r="C90" t="s">
        <v>530</v>
      </c>
      <c r="D90" t="s">
        <v>587</v>
      </c>
    </row>
    <row r="91" spans="1:4">
      <c r="A91" t="s">
        <v>199</v>
      </c>
      <c r="B91" t="s">
        <v>200</v>
      </c>
      <c r="C91" t="s">
        <v>530</v>
      </c>
      <c r="D91" t="s">
        <v>590</v>
      </c>
    </row>
    <row r="92" spans="1:4">
      <c r="A92" t="s">
        <v>201</v>
      </c>
      <c r="B92" t="s">
        <v>202</v>
      </c>
      <c r="C92" t="s">
        <v>530</v>
      </c>
      <c r="D92" t="s">
        <v>593</v>
      </c>
    </row>
    <row r="93" spans="1:4">
      <c r="A93" t="s">
        <v>203</v>
      </c>
      <c r="B93" t="s">
        <v>204</v>
      </c>
      <c r="C93" t="s">
        <v>530</v>
      </c>
      <c r="D93" t="s">
        <v>596</v>
      </c>
    </row>
    <row r="94" spans="1:4">
      <c r="A94" t="s">
        <v>205</v>
      </c>
      <c r="B94" t="s">
        <v>206</v>
      </c>
      <c r="C94" t="s">
        <v>530</v>
      </c>
      <c r="D94" t="s">
        <v>599</v>
      </c>
    </row>
    <row r="95" spans="1:4">
      <c r="A95" t="s">
        <v>207</v>
      </c>
      <c r="B95" t="s">
        <v>208</v>
      </c>
      <c r="C95" t="s">
        <v>530</v>
      </c>
      <c r="D95" t="s">
        <v>602</v>
      </c>
    </row>
    <row r="96" spans="1:4">
      <c r="A96" t="s">
        <v>209</v>
      </c>
      <c r="B96" t="s">
        <v>210</v>
      </c>
      <c r="C96" t="s">
        <v>530</v>
      </c>
      <c r="D96" t="s">
        <v>605</v>
      </c>
    </row>
    <row r="97" spans="1:4">
      <c r="A97" t="s">
        <v>211</v>
      </c>
      <c r="B97" t="s">
        <v>212</v>
      </c>
      <c r="C97" t="s">
        <v>530</v>
      </c>
      <c r="D97" t="s">
        <v>608</v>
      </c>
    </row>
    <row r="98" spans="1:4">
      <c r="A98" t="s">
        <v>213</v>
      </c>
      <c r="B98" t="s">
        <v>214</v>
      </c>
      <c r="C98" t="s">
        <v>530</v>
      </c>
      <c r="D98" t="s">
        <v>611</v>
      </c>
    </row>
    <row r="99" spans="1:4">
      <c r="A99" t="s">
        <v>215</v>
      </c>
      <c r="B99" t="s">
        <v>216</v>
      </c>
      <c r="C99" t="s">
        <v>530</v>
      </c>
      <c r="D99" t="s">
        <v>614</v>
      </c>
    </row>
    <row r="100" spans="1:4">
      <c r="A100" t="s">
        <v>217</v>
      </c>
      <c r="B100" t="s">
        <v>218</v>
      </c>
      <c r="C100" t="s">
        <v>530</v>
      </c>
      <c r="D100" t="s">
        <v>617</v>
      </c>
    </row>
    <row r="101" spans="1:4">
      <c r="A101" t="s">
        <v>219</v>
      </c>
      <c r="B101" t="s">
        <v>220</v>
      </c>
      <c r="C101" t="s">
        <v>530</v>
      </c>
      <c r="D101" t="s">
        <v>621</v>
      </c>
    </row>
    <row r="102" spans="1:4">
      <c r="A102" t="s">
        <v>221</v>
      </c>
      <c r="B102" t="s">
        <v>222</v>
      </c>
      <c r="C102" t="s">
        <v>623</v>
      </c>
      <c r="D102" t="s">
        <v>626</v>
      </c>
    </row>
    <row r="103" spans="1:4">
      <c r="A103" t="s">
        <v>223</v>
      </c>
      <c r="B103" t="s">
        <v>224</v>
      </c>
      <c r="C103" t="s">
        <v>623</v>
      </c>
      <c r="D103" t="s">
        <v>629</v>
      </c>
    </row>
    <row r="104" spans="1:4">
      <c r="A104" t="s">
        <v>225</v>
      </c>
      <c r="B104" t="s">
        <v>226</v>
      </c>
      <c r="C104" t="s">
        <v>623</v>
      </c>
      <c r="D104" t="s">
        <v>632</v>
      </c>
    </row>
    <row r="105" spans="1:4">
      <c r="A105" t="s">
        <v>227</v>
      </c>
      <c r="B105" t="s">
        <v>228</v>
      </c>
      <c r="C105" t="s">
        <v>623</v>
      </c>
      <c r="D105" t="s">
        <v>635</v>
      </c>
    </row>
    <row r="106" spans="1:4">
      <c r="A106" t="s">
        <v>229</v>
      </c>
      <c r="B106" t="s">
        <v>230</v>
      </c>
      <c r="C106" t="s">
        <v>623</v>
      </c>
      <c r="D106" t="s">
        <v>637</v>
      </c>
    </row>
    <row r="107" spans="1:4">
      <c r="A107" t="s">
        <v>231</v>
      </c>
      <c r="B107" t="s">
        <v>232</v>
      </c>
      <c r="C107" t="s">
        <v>639</v>
      </c>
      <c r="D107" t="s">
        <v>642</v>
      </c>
    </row>
    <row r="108" spans="1:4">
      <c r="A108" t="s">
        <v>233</v>
      </c>
      <c r="B108" t="s">
        <v>234</v>
      </c>
      <c r="C108" t="s">
        <v>639</v>
      </c>
      <c r="D108" t="s">
        <v>646</v>
      </c>
    </row>
    <row r="109" spans="1:4">
      <c r="A109" t="s">
        <v>235</v>
      </c>
      <c r="B109" t="s">
        <v>236</v>
      </c>
      <c r="C109" t="s">
        <v>639</v>
      </c>
      <c r="D109" t="s">
        <v>649</v>
      </c>
    </row>
    <row r="110" spans="1:4">
      <c r="A110" t="s">
        <v>237</v>
      </c>
      <c r="B110" t="s">
        <v>238</v>
      </c>
      <c r="C110" t="s">
        <v>639</v>
      </c>
      <c r="D110" t="s">
        <v>651</v>
      </c>
    </row>
    <row r="111" spans="1:4">
      <c r="A111" t="s">
        <v>239</v>
      </c>
      <c r="B111" t="s">
        <v>240</v>
      </c>
      <c r="C111" t="s">
        <v>653</v>
      </c>
      <c r="D111" t="s">
        <v>655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COA_NON_SUBLEDGER</vt:lpstr>
      <vt:lpstr>Cara Penggunaan</vt:lpstr>
      <vt:lpstr>Standard Reference</vt:lpstr>
      <vt:lpstr>ZAFEB_COA</vt:lpstr>
      <vt:lpstr>ZCLASS_LIST</vt:lpstr>
      <vt:lpstr>ZCOA_CLASS</vt:lpstr>
      <vt:lpstr>ZCOA_CODE</vt:lpstr>
      <vt:lpstr>ZCOA_NAME</vt:lpstr>
      <vt:lpstr>ZCOA_STD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ok</cp:lastModifiedBy>
  <dcterms:created xsi:type="dcterms:W3CDTF">2026-10-22T06:17:25Z</dcterms:created>
  <dcterms:modified xsi:type="dcterms:W3CDTF">2026-10-22T06:52:19Z</dcterms:modified>
</cp:coreProperties>
</file>