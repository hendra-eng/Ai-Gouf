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e8706d179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_INVENTORY" sheetId="1" r:id="Rcc3b97235ac0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;[Red]-#,##0"/>
    <x:numFmt numFmtId="202" formatCode="dd-mmm-yyyy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BFB"/>
      </x:patternFill>
    </x:fill>
    <x:fill>
      <x:patternFill patternType="solid">
        <x:fgColor rgb="FF134E4A"/>
      </x:patternFill>
    </x:fill>
    <x:fill>
      <x:patternFill patternType="solid">
        <x:fgColor rgb="FFDFF3E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603b174be4d21" /><Relationship Type="http://schemas.openxmlformats.org/officeDocument/2006/relationships/theme" Target="/xl/theme/theme1.xml" Id="Rb5cbfbf68c5b4e83" /><Relationship Type="http://schemas.openxmlformats.org/officeDocument/2006/relationships/sharedStrings" Target="/xl/sharedStrings.xml" Id="R83e811d29c864676" /><Relationship Type="http://schemas.openxmlformats.org/officeDocument/2006/relationships/worksheet" Target="/xl/worksheets/sheet1.xml" Id="Rcc3b97235ac0416f" /></Relationships>
</file>

<file path=xl/tables/table1.xml><?xml version="1.0" encoding="utf-8"?>
<x:table xmlns:x="http://schemas.openxmlformats.org/spreadsheetml/2006/main" id="1" name="TblOpeningInventory" displayName="TblOpeningInventory" ref="A4:P64" headerRowCount="1" totalsRowCount="0" totalsRowShown="0">
  <x:tableColumns count="16">
    <x:tableColumn id="1" name="Item Code"/>
    <x:tableColumn id="2" name="Item Name"/>
    <x:tableColumn id="3" name="Category"/>
    <x:tableColumn id="4" name="Warehouse Code"/>
    <x:tableColumn id="5" name="Warehouse Name"/>
    <x:tableColumn id="6" name="Unit"/>
    <x:tableColumn id="7" name="Opening Qty"/>
    <x:tableColumn id="8" name="Unit Cost"/>
    <x:tableColumn id="9" name="Opening Inventory Value"/>
    <x:tableColumn id="10" name="Inventory Account"/>
    <x:tableColumn id="11" name="COGS Account"/>
    <x:tableColumn id="12" name="Batch / Lot"/>
    <x:tableColumn id="13" name="Expiry Date"/>
    <x:tableColumn id="14" name="Branch"/>
    <x:tableColumn id="15" name="Project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8626e7e5994dd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6" hidden="0" customWidth="1"/>
    <x:col min="5" max="5" width="20" hidden="0" customWidth="1"/>
    <x:col min="6" max="6" width="10" hidden="0" customWidth="1"/>
    <x:col min="7" max="7" width="14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14" hidden="0" customWidth="1"/>
    <x:col min="15" max="15" width="16" hidden="0" customWidth="1"/>
    <x:col min="16" max="16" width="30" hidden="0" customWidth="1"/>
    <x:col min="18" max="18" width="24" hidden="0" customWidth="1"/>
    <x:col min="19" max="19" width="20" hidden="0" customWidth="1"/>
  </x:cols>
  <x:sheetData>
    <x:row r="1">
      <x:c r="A1" s="5" t="str">
        <x:v>ZAFEB — IMPORT OPENING STOCK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3" t="str">
        <x:v>Import saldo awal stock per item dan warehouse. Nilai persediaan dihitung otomatis = Opening Qty × Unit Cost dan harus direkonsiliasi ke akun Inventory di GL.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2" t="str">
        <x:v>Item Code</x:v>
      </x:c>
      <x:c r="B4" s="22" t="str">
        <x:v>Item Name</x:v>
      </x:c>
      <x:c r="C4" s="22" t="str">
        <x:v>Category</x:v>
      </x:c>
      <x:c r="D4" s="22" t="str">
        <x:v>Warehouse Code</x:v>
      </x:c>
      <x:c r="E4" s="22" t="str">
        <x:v>Warehouse Name</x:v>
      </x:c>
      <x:c r="F4" s="22" t="str">
        <x:v>Unit</x:v>
      </x:c>
      <x:c r="G4" s="22" t="str">
        <x:v>Opening Qty</x:v>
      </x:c>
      <x:c r="H4" s="22" t="str">
        <x:v>Unit Cost</x:v>
      </x:c>
      <x:c r="I4" s="22" t="str">
        <x:v>Opening Inventory Value</x:v>
      </x:c>
      <x:c r="J4" s="22" t="str">
        <x:v>Inventory Account</x:v>
      </x:c>
      <x:c r="K4" s="22" t="str">
        <x:v>COGS Account</x:v>
      </x:c>
      <x:c r="L4" s="22" t="str">
        <x:v>Batch / Lot</x:v>
      </x:c>
      <x:c r="M4" s="22" t="str">
        <x:v>Expiry Date</x:v>
      </x:c>
      <x:c r="N4" s="22" t="str">
        <x:v>Branch</x:v>
      </x:c>
      <x:c r="O4" s="22" t="str">
        <x:v>Project</x:v>
      </x:c>
      <x:c r="P4" s="22" t="str">
        <x:v>Notes</x:v>
      </x:c>
      <x:c r="R4" s="22" t="str">
        <x:v>CONTROL SUMMARY</x:v>
      </x:c>
      <x:c r="S4" s="22" t="str"/>
    </x:row>
    <x:row r="5">
      <x:c r="A5" s="30" t="str">
        <x:v>ITEM-001</x:v>
      </x:c>
      <x:c r="B5" s="30" t="str">
        <x:v>Item Persediaan 01</x:v>
      </x:c>
      <x:c r="C5" s="30" t="str">
        <x:v>Finished Goods</x:v>
      </x:c>
      <x:c r="D5" s="30" t="str">
        <x:v>WH-BALI</x:v>
      </x:c>
      <x:c r="E5" s="30" t="str">
        <x:v>Gudang Bali</x:v>
      </x:c>
      <x:c r="F5" s="30" t="str">
        <x:v>Kg</x:v>
      </x:c>
      <x:c r="G5" s="32" t="n">
        <x:v>75</x:v>
      </x:c>
      <x:c r="H5" s="34" t="n">
        <x:v>27500</x:v>
      </x:c>
      <x:c r="I5" s="34" t="n">
        <x:f>G5*H5</x:f>
        <x:v>2062500</x:v>
      </x:c>
      <x:c r="J5" s="30" t="str">
        <x:v>1-13001</x:v>
      </x:c>
      <x:c r="K5" s="30" t="str">
        <x:v>5-10001</x:v>
      </x:c>
      <x:c r="L5" s="30" t="str">
        <x:v>LOT-2025001</x:v>
      </x:c>
      <x:c r="M5" s="36"/>
      <x:c r="N5" s="30" t="str">
        <x:v>Bali</x:v>
      </x:c>
      <x:c r="O5" s="30" t="str"/>
      <x:c r="P5" s="30" t="str">
        <x:v>Contoh opening stock</x:v>
      </x:c>
      <x:c r="R5" s="43" t="str">
        <x:v>Total Items</x:v>
      </x:c>
      <x:c r="S5" t="n">
        <x:f>COUNTA(A5:A64)</x:f>
        <x:v>60</x:v>
      </x:c>
    </x:row>
    <x:row r="6">
      <x:c r="A6" s="30" t="str">
        <x:v>ITEM-002</x:v>
      </x:c>
      <x:c r="B6" s="30" t="str">
        <x:v>Item Persediaan 02</x:v>
      </x:c>
      <x:c r="C6" s="30" t="str">
        <x:v>Trading Goods</x:v>
      </x:c>
      <x:c r="D6" s="30" t="str">
        <x:v>WH-SBY</x:v>
      </x:c>
      <x:c r="E6" s="30" t="str">
        <x:v>Gudang Surabaya</x:v>
      </x:c>
      <x:c r="F6" s="30" t="str">
        <x:v>Box</x:v>
      </x:c>
      <x:c r="G6" s="32" t="n">
        <x:v>100</x:v>
      </x:c>
      <x:c r="H6" s="34" t="n">
        <x:v>45000</x:v>
      </x:c>
      <x:c r="I6" s="34" t="n">
        <x:f>G6*H6</x:f>
        <x:v>4500000</x:v>
      </x:c>
      <x:c r="J6" s="30" t="str">
        <x:v>1-13001</x:v>
      </x:c>
      <x:c r="K6" s="30" t="str">
        <x:v>5-10001</x:v>
      </x:c>
      <x:c r="L6" s="30" t="str">
        <x:v>LOT-2025002</x:v>
      </x:c>
      <x:c r="M6" s="36"/>
      <x:c r="N6" s="30" t="str">
        <x:v>Surabaya</x:v>
      </x:c>
      <x:c r="O6" s="30" t="str"/>
      <x:c r="P6" s="30" t="str">
        <x:v>Contoh opening stock</x:v>
      </x:c>
      <x:c r="R6" s="43" t="str">
        <x:v>Total Qty</x:v>
      </x:c>
      <x:c r="S6" s="48" t="n">
        <x:f>SUM(G5:G64)</x:f>
        <x:v>17250</x:v>
      </x:c>
    </x:row>
    <x:row r="7">
      <x:c r="A7" s="30" t="str">
        <x:v>ITEM-003</x:v>
      </x:c>
      <x:c r="B7" s="30" t="str">
        <x:v>Item Persediaan 03</x:v>
      </x:c>
      <x:c r="C7" s="30" t="str">
        <x:v>Packaging</x:v>
      </x:c>
      <x:c r="D7" s="30" t="str">
        <x:v>WH-JKT</x:v>
      </x:c>
      <x:c r="E7" s="30" t="str">
        <x:v>Gudang Jakarta</x:v>
      </x:c>
      <x:c r="F7" s="30" t="str">
        <x:v>Unit</x:v>
      </x:c>
      <x:c r="G7" s="32" t="n">
        <x:v>125</x:v>
      </x:c>
      <x:c r="H7" s="34" t="n">
        <x:v>62500</x:v>
      </x:c>
      <x:c r="I7" s="34" t="n">
        <x:f>G7*H7</x:f>
        <x:v>7812500</x:v>
      </x:c>
      <x:c r="J7" s="30" t="str">
        <x:v>1-13001</x:v>
      </x:c>
      <x:c r="K7" s="30" t="str">
        <x:v>5-10001</x:v>
      </x:c>
      <x:c r="L7" s="30" t="str">
        <x:v>LOT-2025003</x:v>
      </x:c>
      <x:c r="M7" s="36"/>
      <x:c r="N7" s="30" t="str">
        <x:v>Jakarta</x:v>
      </x:c>
      <x:c r="O7" s="30" t="str"/>
      <x:c r="P7" s="30" t="str">
        <x:v>Contoh opening stock</x:v>
      </x:c>
      <x:c r="R7" s="43" t="str">
        <x:v>Total Inventory Value</x:v>
      </x:c>
      <x:c r="S7" s="48" t="n">
        <x:f>SUM(I5:I64)</x:f>
        <x:v>1865625000</x:v>
      </x:c>
    </x:row>
    <x:row r="8">
      <x:c r="A8" s="30" t="str">
        <x:v>ITEM-004</x:v>
      </x:c>
      <x:c r="B8" s="30" t="str">
        <x:v>Item Persediaan 04</x:v>
      </x:c>
      <x:c r="C8" s="30" t="str">
        <x:v>Spare Parts</x:v>
      </x:c>
      <x:c r="D8" s="30" t="str">
        <x:v>WH-BALI</x:v>
      </x:c>
      <x:c r="E8" s="30" t="str">
        <x:v>Gudang Bali</x:v>
      </x:c>
      <x:c r="F8" s="30" t="str">
        <x:v>Pack</x:v>
      </x:c>
      <x:c r="G8" s="32" t="n">
        <x:v>150</x:v>
      </x:c>
      <x:c r="H8" s="34" t="n">
        <x:v>80000</x:v>
      </x:c>
      <x:c r="I8" s="34" t="n">
        <x:f>G8*H8</x:f>
        <x:v>12000000</x:v>
      </x:c>
      <x:c r="J8" s="30" t="str">
        <x:v>1-13001</x:v>
      </x:c>
      <x:c r="K8" s="30" t="str">
        <x:v>5-10001</x:v>
      </x:c>
      <x:c r="L8" s="30" t="str">
        <x:v>LOT-2025004</x:v>
      </x:c>
      <x:c r="M8" s="36"/>
      <x:c r="N8" s="30" t="str">
        <x:v>Bali</x:v>
      </x:c>
      <x:c r="O8" s="30" t="str"/>
      <x:c r="P8" s="30" t="str">
        <x:v>Contoh opening stock</x:v>
      </x:c>
    </x:row>
    <x:row r="9">
      <x:c r="A9" s="30" t="str">
        <x:v>ITEM-005</x:v>
      </x:c>
      <x:c r="B9" s="30" t="str">
        <x:v>Item Persediaan 05</x:v>
      </x:c>
      <x:c r="C9" s="30" t="str">
        <x:v>Office Supplies</x:v>
      </x:c>
      <x:c r="D9" s="30" t="str">
        <x:v>WH-SBY</x:v>
      </x:c>
      <x:c r="E9" s="30" t="str">
        <x:v>Gudang Surabaya</x:v>
      </x:c>
      <x:c r="F9" s="30" t="str">
        <x:v>Pcs</x:v>
      </x:c>
      <x:c r="G9" s="32" t="n">
        <x:v>175</x:v>
      </x:c>
      <x:c r="H9" s="34" t="n">
        <x:v>97500</x:v>
      </x:c>
      <x:c r="I9" s="34" t="n">
        <x:f>G9*H9</x:f>
        <x:v>17062500</x:v>
      </x:c>
      <x:c r="J9" s="30" t="str">
        <x:v>1-13001</x:v>
      </x:c>
      <x:c r="K9" s="30" t="str">
        <x:v>5-10001</x:v>
      </x:c>
      <x:c r="L9" s="30" t="str">
        <x:v>LOT-2025005</x:v>
      </x:c>
      <x:c r="M9" s="36"/>
      <x:c r="N9" s="30" t="str">
        <x:v>Surabaya</x:v>
      </x:c>
      <x:c r="O9" s="30" t="str"/>
      <x:c r="P9" s="30" t="str">
        <x:v>Contoh opening stock</x:v>
      </x:c>
    </x:row>
    <x:row r="10">
      <x:c r="A10" s="30" t="str">
        <x:v>ITEM-006</x:v>
      </x:c>
      <x:c r="B10" s="30" t="str">
        <x:v>Item Persediaan 06</x:v>
      </x:c>
      <x:c r="C10" s="30" t="str">
        <x:v>Raw Material</x:v>
      </x:c>
      <x:c r="D10" s="30" t="str">
        <x:v>WH-JKT</x:v>
      </x:c>
      <x:c r="E10" s="30" t="str">
        <x:v>Gudang Jakarta</x:v>
      </x:c>
      <x:c r="F10" s="30" t="str">
        <x:v>Kg</x:v>
      </x:c>
      <x:c r="G10" s="32" t="n">
        <x:v>200</x:v>
      </x:c>
      <x:c r="H10" s="34" t="n">
        <x:v>115000</x:v>
      </x:c>
      <x:c r="I10" s="34" t="n">
        <x:f>G10*H10</x:f>
        <x:v>23000000</x:v>
      </x:c>
      <x:c r="J10" s="30" t="str">
        <x:v>1-13001</x:v>
      </x:c>
      <x:c r="K10" s="30" t="str">
        <x:v>5-10001</x:v>
      </x:c>
      <x:c r="L10" s="30" t="str">
        <x:v>LOT-2025006</x:v>
      </x:c>
      <x:c r="M10" s="36"/>
      <x:c r="N10" s="30" t="str">
        <x:v>Jakarta</x:v>
      </x:c>
      <x:c r="O10" s="30" t="str"/>
      <x:c r="P10" s="30" t="str">
        <x:v>Contoh opening stock</x:v>
      </x:c>
    </x:row>
    <x:row r="11">
      <x:c r="A11" s="30" t="str">
        <x:v>ITEM-007</x:v>
      </x:c>
      <x:c r="B11" s="30" t="str">
        <x:v>Item Persediaan 07</x:v>
      </x:c>
      <x:c r="C11" s="30" t="str">
        <x:v>Finished Goods</x:v>
      </x:c>
      <x:c r="D11" s="30" t="str">
        <x:v>WH-BALI</x:v>
      </x:c>
      <x:c r="E11" s="30" t="str">
        <x:v>Gudang Bali</x:v>
      </x:c>
      <x:c r="F11" s="30" t="str">
        <x:v>Box</x:v>
      </x:c>
      <x:c r="G11" s="32" t="n">
        <x:v>225</x:v>
      </x:c>
      <x:c r="H11" s="34" t="n">
        <x:v>132500</x:v>
      </x:c>
      <x:c r="I11" s="34" t="n">
        <x:f>G11*H11</x:f>
        <x:v>29812500</x:v>
      </x:c>
      <x:c r="J11" s="30" t="str">
        <x:v>1-13001</x:v>
      </x:c>
      <x:c r="K11" s="30" t="str">
        <x:v>5-10001</x:v>
      </x:c>
      <x:c r="L11" s="30" t="str">
        <x:v>LOT-2025007</x:v>
      </x:c>
      <x:c r="M11" s="36"/>
      <x:c r="N11" s="30" t="str">
        <x:v>Bali</x:v>
      </x:c>
      <x:c r="O11" s="30" t="str">
        <x:v>Project-1</x:v>
      </x:c>
      <x:c r="P11" s="30" t="str">
        <x:v>Contoh opening stock</x:v>
      </x:c>
    </x:row>
    <x:row r="12">
      <x:c r="A12" s="30" t="str">
        <x:v>ITEM-008</x:v>
      </x:c>
      <x:c r="B12" s="30" t="str">
        <x:v>Item Persediaan 08</x:v>
      </x:c>
      <x:c r="C12" s="30" t="str">
        <x:v>Trading Goods</x:v>
      </x:c>
      <x:c r="D12" s="30" t="str">
        <x:v>WH-SBY</x:v>
      </x:c>
      <x:c r="E12" s="30" t="str">
        <x:v>Gudang Surabaya</x:v>
      </x:c>
      <x:c r="F12" s="30" t="str">
        <x:v>Unit</x:v>
      </x:c>
      <x:c r="G12" s="32" t="n">
        <x:v>250</x:v>
      </x:c>
      <x:c r="H12" s="34" t="n">
        <x:v>150000</x:v>
      </x:c>
      <x:c r="I12" s="34" t="n">
        <x:f>G12*H12</x:f>
        <x:v>37500000</x:v>
      </x:c>
      <x:c r="J12" s="30" t="str">
        <x:v>1-13001</x:v>
      </x:c>
      <x:c r="K12" s="30" t="str">
        <x:v>5-10001</x:v>
      </x:c>
      <x:c r="L12" s="30" t="str">
        <x:v>LOT-2025008</x:v>
      </x:c>
      <x:c r="M12" s="36"/>
      <x:c r="N12" s="30" t="str">
        <x:v>Surabaya</x:v>
      </x:c>
      <x:c r="O12" s="30" t="str"/>
      <x:c r="P12" s="30" t="str">
        <x:v>Contoh opening stock</x:v>
      </x:c>
    </x:row>
    <x:row r="13">
      <x:c r="A13" s="30" t="str">
        <x:v>ITEM-009</x:v>
      </x:c>
      <x:c r="B13" s="30" t="str">
        <x:v>Item Persediaan 09</x:v>
      </x:c>
      <x:c r="C13" s="30" t="str">
        <x:v>Packaging</x:v>
      </x:c>
      <x:c r="D13" s="30" t="str">
        <x:v>WH-JKT</x:v>
      </x:c>
      <x:c r="E13" s="30" t="str">
        <x:v>Gudang Jakarta</x:v>
      </x:c>
      <x:c r="F13" s="30" t="str">
        <x:v>Pack</x:v>
      </x:c>
      <x:c r="G13" s="32" t="n">
        <x:v>275</x:v>
      </x:c>
      <x:c r="H13" s="34" t="n">
        <x:v>167500</x:v>
      </x:c>
      <x:c r="I13" s="34" t="n">
        <x:f>G13*H13</x:f>
        <x:v>46062500</x:v>
      </x:c>
      <x:c r="J13" s="30" t="str">
        <x:v>1-13001</x:v>
      </x:c>
      <x:c r="K13" s="30" t="str">
        <x:v>5-10001</x:v>
      </x:c>
      <x:c r="L13" s="30" t="str">
        <x:v>LOT-2025009</x:v>
      </x:c>
      <x:c r="M13" s="36"/>
      <x:c r="N13" s="30" t="str">
        <x:v>Jakarta</x:v>
      </x:c>
      <x:c r="O13" s="30" t="str"/>
      <x:c r="P13" s="30" t="str">
        <x:v>Contoh opening stock</x:v>
      </x:c>
    </x:row>
    <x:row r="14">
      <x:c r="A14" s="30" t="str">
        <x:v>ITEM-010</x:v>
      </x:c>
      <x:c r="B14" s="30" t="str">
        <x:v>Item Persediaan 10</x:v>
      </x:c>
      <x:c r="C14" s="30" t="str">
        <x:v>Spare Parts</x:v>
      </x:c>
      <x:c r="D14" s="30" t="str">
        <x:v>WH-BALI</x:v>
      </x:c>
      <x:c r="E14" s="30" t="str">
        <x:v>Gudang Bali</x:v>
      </x:c>
      <x:c r="F14" s="30" t="str">
        <x:v>Pcs</x:v>
      </x:c>
      <x:c r="G14" s="32" t="n">
        <x:v>300</x:v>
      </x:c>
      <x:c r="H14" s="34" t="n">
        <x:v>185000</x:v>
      </x:c>
      <x:c r="I14" s="34" t="n">
        <x:f>G14*H14</x:f>
        <x:v>55500000</x:v>
      </x:c>
      <x:c r="J14" s="30" t="str">
        <x:v>1-13001</x:v>
      </x:c>
      <x:c r="K14" s="30" t="str">
        <x:v>5-10001</x:v>
      </x:c>
      <x:c r="L14" s="30" t="str">
        <x:v>LOT-2025010</x:v>
      </x:c>
      <x:c r="M14" s="36"/>
      <x:c r="N14" s="30" t="str">
        <x:v>Bali</x:v>
      </x:c>
      <x:c r="O14" s="30" t="str"/>
      <x:c r="P14" s="30" t="str">
        <x:v>Contoh opening stock</x:v>
      </x:c>
    </x:row>
    <x:row r="15">
      <x:c r="A15" s="30" t="str">
        <x:v>ITEM-011</x:v>
      </x:c>
      <x:c r="B15" s="30" t="str">
        <x:v>Item Persediaan 11</x:v>
      </x:c>
      <x:c r="C15" s="30" t="str">
        <x:v>Office Supplies</x:v>
      </x:c>
      <x:c r="D15" s="30" t="str">
        <x:v>WH-SBY</x:v>
      </x:c>
      <x:c r="E15" s="30" t="str">
        <x:v>Gudang Surabaya</x:v>
      </x:c>
      <x:c r="F15" s="30" t="str">
        <x:v>Kg</x:v>
      </x:c>
      <x:c r="G15" s="32" t="n">
        <x:v>325</x:v>
      </x:c>
      <x:c r="H15" s="34" t="n">
        <x:v>202500</x:v>
      </x:c>
      <x:c r="I15" s="34" t="n">
        <x:f>G15*H15</x:f>
        <x:v>65812500</x:v>
      </x:c>
      <x:c r="J15" s="30" t="str">
        <x:v>1-13001</x:v>
      </x:c>
      <x:c r="K15" s="30" t="str">
        <x:v>5-10001</x:v>
      </x:c>
      <x:c r="L15" s="30" t="str">
        <x:v>LOT-2025011</x:v>
      </x:c>
      <x:c r="M15" s="36"/>
      <x:c r="N15" s="30" t="str">
        <x:v>Surabaya</x:v>
      </x:c>
      <x:c r="O15" s="30" t="str"/>
      <x:c r="P15" s="30" t="str">
        <x:v>Contoh opening stock</x:v>
      </x:c>
    </x:row>
    <x:row r="16">
      <x:c r="A16" s="30" t="str">
        <x:v>ITEM-012</x:v>
      </x:c>
      <x:c r="B16" s="30" t="str">
        <x:v>Item Persediaan 12</x:v>
      </x:c>
      <x:c r="C16" s="30" t="str">
        <x:v>Raw Material</x:v>
      </x:c>
      <x:c r="D16" s="30" t="str">
        <x:v>WH-JKT</x:v>
      </x:c>
      <x:c r="E16" s="30" t="str">
        <x:v>Gudang Jakarta</x:v>
      </x:c>
      <x:c r="F16" s="30" t="str">
        <x:v>Box</x:v>
      </x:c>
      <x:c r="G16" s="32" t="n">
        <x:v>350</x:v>
      </x:c>
      <x:c r="H16" s="34" t="n">
        <x:v>10000</x:v>
      </x:c>
      <x:c r="I16" s="34" t="n">
        <x:f>G16*H16</x:f>
        <x:v>3500000</x:v>
      </x:c>
      <x:c r="J16" s="30" t="str">
        <x:v>1-13001</x:v>
      </x:c>
      <x:c r="K16" s="30" t="str">
        <x:v>5-10001</x:v>
      </x:c>
      <x:c r="L16" s="30" t="str">
        <x:v>LOT-2025012</x:v>
      </x:c>
      <x:c r="M16" s="36"/>
      <x:c r="N16" s="30" t="str">
        <x:v>Jakarta</x:v>
      </x:c>
      <x:c r="O16" s="30" t="str"/>
      <x:c r="P16" s="30" t="str">
        <x:v>Contoh opening stock</x:v>
      </x:c>
    </x:row>
    <x:row r="17">
      <x:c r="A17" s="30" t="str">
        <x:v>ITEM-013</x:v>
      </x:c>
      <x:c r="B17" s="30" t="str">
        <x:v>Item Persediaan 13</x:v>
      </x:c>
      <x:c r="C17" s="30" t="str">
        <x:v>Finished Goods</x:v>
      </x:c>
      <x:c r="D17" s="30" t="str">
        <x:v>WH-BALI</x:v>
      </x:c>
      <x:c r="E17" s="30" t="str">
        <x:v>Gudang Bali</x:v>
      </x:c>
      <x:c r="F17" s="30" t="str">
        <x:v>Unit</x:v>
      </x:c>
      <x:c r="G17" s="32" t="n">
        <x:v>375</x:v>
      </x:c>
      <x:c r="H17" s="34" t="n">
        <x:v>27500</x:v>
      </x:c>
      <x:c r="I17" s="34" t="n">
        <x:f>G17*H17</x:f>
        <x:v>10312500</x:v>
      </x:c>
      <x:c r="J17" s="30" t="str">
        <x:v>1-13001</x:v>
      </x:c>
      <x:c r="K17" s="30" t="str">
        <x:v>5-10001</x:v>
      </x:c>
      <x:c r="L17" s="30" t="str">
        <x:v>LOT-2025013</x:v>
      </x:c>
      <x:c r="M17" s="36"/>
      <x:c r="N17" s="30" t="str">
        <x:v>Bali</x:v>
      </x:c>
      <x:c r="O17" s="30" t="str"/>
      <x:c r="P17" s="30" t="str">
        <x:v>Contoh opening stock</x:v>
      </x:c>
    </x:row>
    <x:row r="18">
      <x:c r="A18" s="30" t="str">
        <x:v>ITEM-014</x:v>
      </x:c>
      <x:c r="B18" s="30" t="str">
        <x:v>Item Persediaan 14</x:v>
      </x:c>
      <x:c r="C18" s="30" t="str">
        <x:v>Trading Goods</x:v>
      </x:c>
      <x:c r="D18" s="30" t="str">
        <x:v>WH-SBY</x:v>
      </x:c>
      <x:c r="E18" s="30" t="str">
        <x:v>Gudang Surabaya</x:v>
      </x:c>
      <x:c r="F18" s="30" t="str">
        <x:v>Pack</x:v>
      </x:c>
      <x:c r="G18" s="32" t="n">
        <x:v>400</x:v>
      </x:c>
      <x:c r="H18" s="34" t="n">
        <x:v>45000</x:v>
      </x:c>
      <x:c r="I18" s="34" t="n">
        <x:f>G18*H18</x:f>
        <x:v>18000000</x:v>
      </x:c>
      <x:c r="J18" s="30" t="str">
        <x:v>1-13001</x:v>
      </x:c>
      <x:c r="K18" s="30" t="str">
        <x:v>5-10001</x:v>
      </x:c>
      <x:c r="L18" s="30" t="str">
        <x:v>LOT-2025014</x:v>
      </x:c>
      <x:c r="M18" s="36"/>
      <x:c r="N18" s="30" t="str">
        <x:v>Surabaya</x:v>
      </x:c>
      <x:c r="O18" s="30" t="str">
        <x:v>Project-1</x:v>
      </x:c>
      <x:c r="P18" s="30" t="str">
        <x:v>Contoh opening stock</x:v>
      </x:c>
    </x:row>
    <x:row r="19">
      <x:c r="A19" s="30" t="str">
        <x:v>ITEM-015</x:v>
      </x:c>
      <x:c r="B19" s="30" t="str">
        <x:v>Item Persediaan 15</x:v>
      </x:c>
      <x:c r="C19" s="30" t="str">
        <x:v>Packaging</x:v>
      </x:c>
      <x:c r="D19" s="30" t="str">
        <x:v>WH-JKT</x:v>
      </x:c>
      <x:c r="E19" s="30" t="str">
        <x:v>Gudang Jakarta</x:v>
      </x:c>
      <x:c r="F19" s="30" t="str">
        <x:v>Pcs</x:v>
      </x:c>
      <x:c r="G19" s="32" t="n">
        <x:v>425</x:v>
      </x:c>
      <x:c r="H19" s="34" t="n">
        <x:v>62500</x:v>
      </x:c>
      <x:c r="I19" s="34" t="n">
        <x:f>G19*H19</x:f>
        <x:v>26562500</x:v>
      </x:c>
      <x:c r="J19" s="30" t="str">
        <x:v>1-13001</x:v>
      </x:c>
      <x:c r="K19" s="30" t="str">
        <x:v>5-10001</x:v>
      </x:c>
      <x:c r="L19" s="30" t="str">
        <x:v>LOT-2025015</x:v>
      </x:c>
      <x:c r="M19" s="36"/>
      <x:c r="N19" s="30" t="str">
        <x:v>Jakarta</x:v>
      </x:c>
      <x:c r="O19" s="30" t="str"/>
      <x:c r="P19" s="30" t="str">
        <x:v>Contoh opening stock</x:v>
      </x:c>
    </x:row>
    <x:row r="20">
      <x:c r="A20" s="30" t="str">
        <x:v>ITEM-016</x:v>
      </x:c>
      <x:c r="B20" s="30" t="str">
        <x:v>Item Persediaan 16</x:v>
      </x:c>
      <x:c r="C20" s="30" t="str">
        <x:v>Spare Parts</x:v>
      </x:c>
      <x:c r="D20" s="30" t="str">
        <x:v>WH-BALI</x:v>
      </x:c>
      <x:c r="E20" s="30" t="str">
        <x:v>Gudang Bali</x:v>
      </x:c>
      <x:c r="F20" s="30" t="str">
        <x:v>Kg</x:v>
      </x:c>
      <x:c r="G20" s="32" t="n">
        <x:v>450</x:v>
      </x:c>
      <x:c r="H20" s="34" t="n">
        <x:v>80000</x:v>
      </x:c>
      <x:c r="I20" s="34" t="n">
        <x:f>G20*H20</x:f>
        <x:v>36000000</x:v>
      </x:c>
      <x:c r="J20" s="30" t="str">
        <x:v>1-13001</x:v>
      </x:c>
      <x:c r="K20" s="30" t="str">
        <x:v>5-10001</x:v>
      </x:c>
      <x:c r="L20" s="30" t="str">
        <x:v>LOT-2025016</x:v>
      </x:c>
      <x:c r="M20" s="36"/>
      <x:c r="N20" s="30" t="str">
        <x:v>Bali</x:v>
      </x:c>
      <x:c r="O20" s="30" t="str"/>
      <x:c r="P20" s="30" t="str">
        <x:v>Contoh opening stock</x:v>
      </x:c>
    </x:row>
    <x:row r="21">
      <x:c r="A21" s="30" t="str">
        <x:v>ITEM-017</x:v>
      </x:c>
      <x:c r="B21" s="30" t="str">
        <x:v>Item Persediaan 17</x:v>
      </x:c>
      <x:c r="C21" s="30" t="str">
        <x:v>Office Supplies</x:v>
      </x:c>
      <x:c r="D21" s="30" t="str">
        <x:v>WH-SBY</x:v>
      </x:c>
      <x:c r="E21" s="30" t="str">
        <x:v>Gudang Surabaya</x:v>
      </x:c>
      <x:c r="F21" s="30" t="str">
        <x:v>Box</x:v>
      </x:c>
      <x:c r="G21" s="32" t="n">
        <x:v>475</x:v>
      </x:c>
      <x:c r="H21" s="34" t="n">
        <x:v>97500</x:v>
      </x:c>
      <x:c r="I21" s="34" t="n">
        <x:f>G21*H21</x:f>
        <x:v>46312500</x:v>
      </x:c>
      <x:c r="J21" s="30" t="str">
        <x:v>1-13001</x:v>
      </x:c>
      <x:c r="K21" s="30" t="str">
        <x:v>5-10001</x:v>
      </x:c>
      <x:c r="L21" s="30" t="str">
        <x:v>LOT-2025017</x:v>
      </x:c>
      <x:c r="M21" s="36"/>
      <x:c r="N21" s="30" t="str">
        <x:v>Surabaya</x:v>
      </x:c>
      <x:c r="O21" s="30" t="str"/>
      <x:c r="P21" s="30" t="str">
        <x:v>Contoh opening stock</x:v>
      </x:c>
    </x:row>
    <x:row r="22">
      <x:c r="A22" s="30" t="str">
        <x:v>ITEM-018</x:v>
      </x:c>
      <x:c r="B22" s="30" t="str">
        <x:v>Item Persediaan 18</x:v>
      </x:c>
      <x:c r="C22" s="30" t="str">
        <x:v>Raw Material</x:v>
      </x:c>
      <x:c r="D22" s="30" t="str">
        <x:v>WH-JKT</x:v>
      </x:c>
      <x:c r="E22" s="30" t="str">
        <x:v>Gudang Jakarta</x:v>
      </x:c>
      <x:c r="F22" s="30" t="str">
        <x:v>Unit</x:v>
      </x:c>
      <x:c r="G22" s="32" t="n">
        <x:v>500</x:v>
      </x:c>
      <x:c r="H22" s="34" t="n">
        <x:v>115000</x:v>
      </x:c>
      <x:c r="I22" s="34" t="n">
        <x:f>G22*H22</x:f>
        <x:v>57500000</x:v>
      </x:c>
      <x:c r="J22" s="30" t="str">
        <x:v>1-13001</x:v>
      </x:c>
      <x:c r="K22" s="30" t="str">
        <x:v>5-10001</x:v>
      </x:c>
      <x:c r="L22" s="30" t="str">
        <x:v>LOT-2025018</x:v>
      </x:c>
      <x:c r="M22" s="36"/>
      <x:c r="N22" s="30" t="str">
        <x:v>Jakarta</x:v>
      </x:c>
      <x:c r="O22" s="30" t="str"/>
      <x:c r="P22" s="30" t="str">
        <x:v>Contoh opening stock</x:v>
      </x:c>
    </x:row>
    <x:row r="23">
      <x:c r="A23" s="30" t="str">
        <x:v>ITEM-019</x:v>
      </x:c>
      <x:c r="B23" s="30" t="str">
        <x:v>Item Persediaan 19</x:v>
      </x:c>
      <x:c r="C23" s="30" t="str">
        <x:v>Finished Goods</x:v>
      </x:c>
      <x:c r="D23" s="30" t="str">
        <x:v>WH-BALI</x:v>
      </x:c>
      <x:c r="E23" s="30" t="str">
        <x:v>Gudang Bali</x:v>
      </x:c>
      <x:c r="F23" s="30" t="str">
        <x:v>Pack</x:v>
      </x:c>
      <x:c r="G23" s="32" t="n">
        <x:v>525</x:v>
      </x:c>
      <x:c r="H23" s="34" t="n">
        <x:v>132500</x:v>
      </x:c>
      <x:c r="I23" s="34" t="n">
        <x:f>G23*H23</x:f>
        <x:v>69562500</x:v>
      </x:c>
      <x:c r="J23" s="30" t="str">
        <x:v>1-13001</x:v>
      </x:c>
      <x:c r="K23" s="30" t="str">
        <x:v>5-10001</x:v>
      </x:c>
      <x:c r="L23" s="30" t="str">
        <x:v>LOT-2025019</x:v>
      </x:c>
      <x:c r="M23" s="36"/>
      <x:c r="N23" s="30" t="str">
        <x:v>Bali</x:v>
      </x:c>
      <x:c r="O23" s="30" t="str"/>
      <x:c r="P23" s="30" t="str">
        <x:v>Contoh opening stock</x:v>
      </x:c>
    </x:row>
    <x:row r="24">
      <x:c r="A24" s="30" t="str">
        <x:v>ITEM-020</x:v>
      </x:c>
      <x:c r="B24" s="30" t="str">
        <x:v>Item Persediaan 20</x:v>
      </x:c>
      <x:c r="C24" s="30" t="str">
        <x:v>Trading Goods</x:v>
      </x:c>
      <x:c r="D24" s="30" t="str">
        <x:v>WH-SBY</x:v>
      </x:c>
      <x:c r="E24" s="30" t="str">
        <x:v>Gudang Surabaya</x:v>
      </x:c>
      <x:c r="F24" s="30" t="str">
        <x:v>Pcs</x:v>
      </x:c>
      <x:c r="G24" s="32" t="n">
        <x:v>50</x:v>
      </x:c>
      <x:c r="H24" s="34" t="n">
        <x:v>150000</x:v>
      </x:c>
      <x:c r="I24" s="34" t="n">
        <x:f>G24*H24</x:f>
        <x:v>7500000</x:v>
      </x:c>
      <x:c r="J24" s="30" t="str">
        <x:v>1-13001</x:v>
      </x:c>
      <x:c r="K24" s="30" t="str">
        <x:v>5-10001</x:v>
      </x:c>
      <x:c r="L24" s="30" t="str">
        <x:v>LOT-2025020</x:v>
      </x:c>
      <x:c r="M24" s="36"/>
      <x:c r="N24" s="30" t="str">
        <x:v>Surabaya</x:v>
      </x:c>
      <x:c r="O24" s="30" t="str"/>
      <x:c r="P24" s="30" t="str">
        <x:v>Contoh opening stock</x:v>
      </x:c>
    </x:row>
    <x:row r="25">
      <x:c r="A25" s="30" t="str">
        <x:v>ITEM-021</x:v>
      </x:c>
      <x:c r="B25" s="30" t="str">
        <x:v>Item Persediaan 21</x:v>
      </x:c>
      <x:c r="C25" s="30" t="str">
        <x:v>Packaging</x:v>
      </x:c>
      <x:c r="D25" s="30" t="str">
        <x:v>WH-JKT</x:v>
      </x:c>
      <x:c r="E25" s="30" t="str">
        <x:v>Gudang Jakarta</x:v>
      </x:c>
      <x:c r="F25" s="30" t="str">
        <x:v>Kg</x:v>
      </x:c>
      <x:c r="G25" s="32" t="n">
        <x:v>75</x:v>
      </x:c>
      <x:c r="H25" s="34" t="n">
        <x:v>167500</x:v>
      </x:c>
      <x:c r="I25" s="34" t="n">
        <x:f>G25*H25</x:f>
        <x:v>12562500</x:v>
      </x:c>
      <x:c r="J25" s="30" t="str">
        <x:v>1-13001</x:v>
      </x:c>
      <x:c r="K25" s="30" t="str">
        <x:v>5-10001</x:v>
      </x:c>
      <x:c r="L25" s="30" t="str">
        <x:v>LOT-2025021</x:v>
      </x:c>
      <x:c r="M25" s="36"/>
      <x:c r="N25" s="30" t="str">
        <x:v>Jakarta</x:v>
      </x:c>
      <x:c r="O25" s="30" t="str">
        <x:v>Project-1</x:v>
      </x:c>
      <x:c r="P25" s="30" t="str">
        <x:v>Contoh opening stock</x:v>
      </x:c>
    </x:row>
    <x:row r="26">
      <x:c r="A26" s="30" t="str">
        <x:v>ITEM-022</x:v>
      </x:c>
      <x:c r="B26" s="30" t="str">
        <x:v>Item Persediaan 22</x:v>
      </x:c>
      <x:c r="C26" s="30" t="str">
        <x:v>Spare Parts</x:v>
      </x:c>
      <x:c r="D26" s="30" t="str">
        <x:v>WH-BALI</x:v>
      </x:c>
      <x:c r="E26" s="30" t="str">
        <x:v>Gudang Bali</x:v>
      </x:c>
      <x:c r="F26" s="30" t="str">
        <x:v>Box</x:v>
      </x:c>
      <x:c r="G26" s="32" t="n">
        <x:v>100</x:v>
      </x:c>
      <x:c r="H26" s="34" t="n">
        <x:v>185000</x:v>
      </x:c>
      <x:c r="I26" s="34" t="n">
        <x:f>G26*H26</x:f>
        <x:v>18500000</x:v>
      </x:c>
      <x:c r="J26" s="30" t="str">
        <x:v>1-13001</x:v>
      </x:c>
      <x:c r="K26" s="30" t="str">
        <x:v>5-10001</x:v>
      </x:c>
      <x:c r="L26" s="30" t="str">
        <x:v>LOT-2025022</x:v>
      </x:c>
      <x:c r="M26" s="36"/>
      <x:c r="N26" s="30" t="str">
        <x:v>Bali</x:v>
      </x:c>
      <x:c r="O26" s="30" t="str"/>
      <x:c r="P26" s="30" t="str">
        <x:v>Contoh opening stock</x:v>
      </x:c>
    </x:row>
    <x:row r="27">
      <x:c r="A27" s="30" t="str">
        <x:v>ITEM-023</x:v>
      </x:c>
      <x:c r="B27" s="30" t="str">
        <x:v>Item Persediaan 23</x:v>
      </x:c>
      <x:c r="C27" s="30" t="str">
        <x:v>Office Supplies</x:v>
      </x:c>
      <x:c r="D27" s="30" t="str">
        <x:v>WH-SBY</x:v>
      </x:c>
      <x:c r="E27" s="30" t="str">
        <x:v>Gudang Surabaya</x:v>
      </x:c>
      <x:c r="F27" s="30" t="str">
        <x:v>Unit</x:v>
      </x:c>
      <x:c r="G27" s="32" t="n">
        <x:v>125</x:v>
      </x:c>
      <x:c r="H27" s="34" t="n">
        <x:v>202500</x:v>
      </x:c>
      <x:c r="I27" s="34" t="n">
        <x:f>G27*H27</x:f>
        <x:v>25312500</x:v>
      </x:c>
      <x:c r="J27" s="30" t="str">
        <x:v>1-13001</x:v>
      </x:c>
      <x:c r="K27" s="30" t="str">
        <x:v>5-10001</x:v>
      </x:c>
      <x:c r="L27" s="30" t="str">
        <x:v>LOT-2025023</x:v>
      </x:c>
      <x:c r="M27" s="36"/>
      <x:c r="N27" s="30" t="str">
        <x:v>Surabaya</x:v>
      </x:c>
      <x:c r="O27" s="30" t="str"/>
      <x:c r="P27" s="30" t="str">
        <x:v>Contoh opening stock</x:v>
      </x:c>
    </x:row>
    <x:row r="28">
      <x:c r="A28" s="30" t="str">
        <x:v>ITEM-024</x:v>
      </x:c>
      <x:c r="B28" s="30" t="str">
        <x:v>Item Persediaan 24</x:v>
      </x:c>
      <x:c r="C28" s="30" t="str">
        <x:v>Raw Material</x:v>
      </x:c>
      <x:c r="D28" s="30" t="str">
        <x:v>WH-JKT</x:v>
      </x:c>
      <x:c r="E28" s="30" t="str">
        <x:v>Gudang Jakarta</x:v>
      </x:c>
      <x:c r="F28" s="30" t="str">
        <x:v>Pack</x:v>
      </x:c>
      <x:c r="G28" s="32" t="n">
        <x:v>150</x:v>
      </x:c>
      <x:c r="H28" s="34" t="n">
        <x:v>10000</x:v>
      </x:c>
      <x:c r="I28" s="34" t="n">
        <x:f>G28*H28</x:f>
        <x:v>1500000</x:v>
      </x:c>
      <x:c r="J28" s="30" t="str">
        <x:v>1-13001</x:v>
      </x:c>
      <x:c r="K28" s="30" t="str">
        <x:v>5-10001</x:v>
      </x:c>
      <x:c r="L28" s="30" t="str">
        <x:v>LOT-2025024</x:v>
      </x:c>
      <x:c r="M28" s="36"/>
      <x:c r="N28" s="30" t="str">
        <x:v>Jakarta</x:v>
      </x:c>
      <x:c r="O28" s="30" t="str"/>
      <x:c r="P28" s="30" t="str">
        <x:v>Contoh opening stock</x:v>
      </x:c>
    </x:row>
    <x:row r="29">
      <x:c r="A29" s="30" t="str">
        <x:v>ITEM-025</x:v>
      </x:c>
      <x:c r="B29" s="30" t="str">
        <x:v>Item Persediaan 25</x:v>
      </x:c>
      <x:c r="C29" s="30" t="str">
        <x:v>Finished Goods</x:v>
      </x:c>
      <x:c r="D29" s="30" t="str">
        <x:v>WH-BALI</x:v>
      </x:c>
      <x:c r="E29" s="30" t="str">
        <x:v>Gudang Bali</x:v>
      </x:c>
      <x:c r="F29" s="30" t="str">
        <x:v>Pcs</x:v>
      </x:c>
      <x:c r="G29" s="32" t="n">
        <x:v>175</x:v>
      </x:c>
      <x:c r="H29" s="34" t="n">
        <x:v>27500</x:v>
      </x:c>
      <x:c r="I29" s="34" t="n">
        <x:f>G29*H29</x:f>
        <x:v>4812500</x:v>
      </x:c>
      <x:c r="J29" s="30" t="str">
        <x:v>1-13001</x:v>
      </x:c>
      <x:c r="K29" s="30" t="str">
        <x:v>5-10001</x:v>
      </x:c>
      <x:c r="L29" s="30" t="str">
        <x:v>LOT-2025025</x:v>
      </x:c>
      <x:c r="M29" s="36"/>
      <x:c r="N29" s="30" t="str">
        <x:v>Bali</x:v>
      </x:c>
      <x:c r="O29" s="30" t="str"/>
      <x:c r="P29" s="30" t="str">
        <x:v>Contoh opening stock</x:v>
      </x:c>
    </x:row>
    <x:row r="30">
      <x:c r="A30" s="30" t="str">
        <x:v>ITEM-026</x:v>
      </x:c>
      <x:c r="B30" s="30" t="str">
        <x:v>Item Persediaan 26</x:v>
      </x:c>
      <x:c r="C30" s="30" t="str">
        <x:v>Trading Goods</x:v>
      </x:c>
      <x:c r="D30" s="30" t="str">
        <x:v>WH-SBY</x:v>
      </x:c>
      <x:c r="E30" s="30" t="str">
        <x:v>Gudang Surabaya</x:v>
      </x:c>
      <x:c r="F30" s="30" t="str">
        <x:v>Kg</x:v>
      </x:c>
      <x:c r="G30" s="32" t="n">
        <x:v>200</x:v>
      </x:c>
      <x:c r="H30" s="34" t="n">
        <x:v>45000</x:v>
      </x:c>
      <x:c r="I30" s="34" t="n">
        <x:f>G30*H30</x:f>
        <x:v>9000000</x:v>
      </x:c>
      <x:c r="J30" s="30" t="str">
        <x:v>1-13001</x:v>
      </x:c>
      <x:c r="K30" s="30" t="str">
        <x:v>5-10001</x:v>
      </x:c>
      <x:c r="L30" s="30" t="str">
        <x:v>LOT-2025026</x:v>
      </x:c>
      <x:c r="M30" s="36"/>
      <x:c r="N30" s="30" t="str">
        <x:v>Surabaya</x:v>
      </x:c>
      <x:c r="O30" s="30" t="str"/>
      <x:c r="P30" s="30" t="str">
        <x:v>Contoh opening stock</x:v>
      </x:c>
    </x:row>
    <x:row r="31">
      <x:c r="A31" s="30" t="str">
        <x:v>ITEM-027</x:v>
      </x:c>
      <x:c r="B31" s="30" t="str">
        <x:v>Item Persediaan 27</x:v>
      </x:c>
      <x:c r="C31" s="30" t="str">
        <x:v>Packaging</x:v>
      </x:c>
      <x:c r="D31" s="30" t="str">
        <x:v>WH-JKT</x:v>
      </x:c>
      <x:c r="E31" s="30" t="str">
        <x:v>Gudang Jakarta</x:v>
      </x:c>
      <x:c r="F31" s="30" t="str">
        <x:v>Box</x:v>
      </x:c>
      <x:c r="G31" s="32" t="n">
        <x:v>225</x:v>
      </x:c>
      <x:c r="H31" s="34" t="n">
        <x:v>62500</x:v>
      </x:c>
      <x:c r="I31" s="34" t="n">
        <x:f>G31*H31</x:f>
        <x:v>14062500</x:v>
      </x:c>
      <x:c r="J31" s="30" t="str">
        <x:v>1-13001</x:v>
      </x:c>
      <x:c r="K31" s="30" t="str">
        <x:v>5-10001</x:v>
      </x:c>
      <x:c r="L31" s="30" t="str">
        <x:v>LOT-2025027</x:v>
      </x:c>
      <x:c r="M31" s="36"/>
      <x:c r="N31" s="30" t="str">
        <x:v>Jakarta</x:v>
      </x:c>
      <x:c r="O31" s="30" t="str"/>
      <x:c r="P31" s="30" t="str">
        <x:v>Contoh opening stock</x:v>
      </x:c>
    </x:row>
    <x:row r="32">
      <x:c r="A32" s="30" t="str">
        <x:v>ITEM-028</x:v>
      </x:c>
      <x:c r="B32" s="30" t="str">
        <x:v>Item Persediaan 28</x:v>
      </x:c>
      <x:c r="C32" s="30" t="str">
        <x:v>Spare Parts</x:v>
      </x:c>
      <x:c r="D32" s="30" t="str">
        <x:v>WH-BALI</x:v>
      </x:c>
      <x:c r="E32" s="30" t="str">
        <x:v>Gudang Bali</x:v>
      </x:c>
      <x:c r="F32" s="30" t="str">
        <x:v>Unit</x:v>
      </x:c>
      <x:c r="G32" s="32" t="n">
        <x:v>250</x:v>
      </x:c>
      <x:c r="H32" s="34" t="n">
        <x:v>80000</x:v>
      </x:c>
      <x:c r="I32" s="34" t="n">
        <x:f>G32*H32</x:f>
        <x:v>20000000</x:v>
      </x:c>
      <x:c r="J32" s="30" t="str">
        <x:v>1-13001</x:v>
      </x:c>
      <x:c r="K32" s="30" t="str">
        <x:v>5-10001</x:v>
      </x:c>
      <x:c r="L32" s="30" t="str">
        <x:v>LOT-2025028</x:v>
      </x:c>
      <x:c r="M32" s="36"/>
      <x:c r="N32" s="30" t="str">
        <x:v>Bali</x:v>
      </x:c>
      <x:c r="O32" s="30" t="str">
        <x:v>Project-1</x:v>
      </x:c>
      <x:c r="P32" s="30" t="str">
        <x:v>Contoh opening stock</x:v>
      </x:c>
    </x:row>
    <x:row r="33">
      <x:c r="A33" s="30" t="str">
        <x:v>ITEM-029</x:v>
      </x:c>
      <x:c r="B33" s="30" t="str">
        <x:v>Item Persediaan 29</x:v>
      </x:c>
      <x:c r="C33" s="30" t="str">
        <x:v>Office Supplies</x:v>
      </x:c>
      <x:c r="D33" s="30" t="str">
        <x:v>WH-SBY</x:v>
      </x:c>
      <x:c r="E33" s="30" t="str">
        <x:v>Gudang Surabaya</x:v>
      </x:c>
      <x:c r="F33" s="30" t="str">
        <x:v>Pack</x:v>
      </x:c>
      <x:c r="G33" s="32" t="n">
        <x:v>275</x:v>
      </x:c>
      <x:c r="H33" s="34" t="n">
        <x:v>97500</x:v>
      </x:c>
      <x:c r="I33" s="34" t="n">
        <x:f>G33*H33</x:f>
        <x:v>26812500</x:v>
      </x:c>
      <x:c r="J33" s="30" t="str">
        <x:v>1-13001</x:v>
      </x:c>
      <x:c r="K33" s="30" t="str">
        <x:v>5-10001</x:v>
      </x:c>
      <x:c r="L33" s="30" t="str">
        <x:v>LOT-2025029</x:v>
      </x:c>
      <x:c r="M33" s="36"/>
      <x:c r="N33" s="30" t="str">
        <x:v>Surabaya</x:v>
      </x:c>
      <x:c r="O33" s="30" t="str"/>
      <x:c r="P33" s="30" t="str">
        <x:v>Contoh opening stock</x:v>
      </x:c>
    </x:row>
    <x:row r="34">
      <x:c r="A34" s="30" t="str">
        <x:v>ITEM-030</x:v>
      </x:c>
      <x:c r="B34" s="30" t="str">
        <x:v>Item Persediaan 30</x:v>
      </x:c>
      <x:c r="C34" s="30" t="str">
        <x:v>Raw Material</x:v>
      </x:c>
      <x:c r="D34" s="30" t="str">
        <x:v>WH-JKT</x:v>
      </x:c>
      <x:c r="E34" s="30" t="str">
        <x:v>Gudang Jakarta</x:v>
      </x:c>
      <x:c r="F34" s="30" t="str">
        <x:v>Pcs</x:v>
      </x:c>
      <x:c r="G34" s="32" t="n">
        <x:v>300</x:v>
      </x:c>
      <x:c r="H34" s="34" t="n">
        <x:v>115000</x:v>
      </x:c>
      <x:c r="I34" s="34" t="n">
        <x:f>G34*H34</x:f>
        <x:v>34500000</x:v>
      </x:c>
      <x:c r="J34" s="30" t="str">
        <x:v>1-13001</x:v>
      </x:c>
      <x:c r="K34" s="30" t="str">
        <x:v>5-10001</x:v>
      </x:c>
      <x:c r="L34" s="30" t="str">
        <x:v>LOT-2025030</x:v>
      </x:c>
      <x:c r="M34" s="36"/>
      <x:c r="N34" s="30" t="str">
        <x:v>Jakarta</x:v>
      </x:c>
      <x:c r="O34" s="30" t="str"/>
      <x:c r="P34" s="30" t="str">
        <x:v>Contoh opening stock</x:v>
      </x:c>
    </x:row>
    <x:row r="35">
      <x:c r="A35" s="30" t="str">
        <x:v>ITEM-031</x:v>
      </x:c>
      <x:c r="B35" s="30" t="str">
        <x:v>Item Persediaan 31</x:v>
      </x:c>
      <x:c r="C35" s="30" t="str">
        <x:v>Finished Goods</x:v>
      </x:c>
      <x:c r="D35" s="30" t="str">
        <x:v>WH-BALI</x:v>
      </x:c>
      <x:c r="E35" s="30" t="str">
        <x:v>Gudang Bali</x:v>
      </x:c>
      <x:c r="F35" s="30" t="str">
        <x:v>Kg</x:v>
      </x:c>
      <x:c r="G35" s="32" t="n">
        <x:v>325</x:v>
      </x:c>
      <x:c r="H35" s="34" t="n">
        <x:v>132500</x:v>
      </x:c>
      <x:c r="I35" s="34" t="n">
        <x:f>G35*H35</x:f>
        <x:v>43062500</x:v>
      </x:c>
      <x:c r="J35" s="30" t="str">
        <x:v>1-13001</x:v>
      </x:c>
      <x:c r="K35" s="30" t="str">
        <x:v>5-10001</x:v>
      </x:c>
      <x:c r="L35" s="30" t="str">
        <x:v>LOT-2025031</x:v>
      </x:c>
      <x:c r="M35" s="36"/>
      <x:c r="N35" s="30" t="str">
        <x:v>Bali</x:v>
      </x:c>
      <x:c r="O35" s="30" t="str"/>
      <x:c r="P35" s="30" t="str">
        <x:v>Contoh opening stock</x:v>
      </x:c>
    </x:row>
    <x:row r="36">
      <x:c r="A36" s="30" t="str">
        <x:v>ITEM-032</x:v>
      </x:c>
      <x:c r="B36" s="30" t="str">
        <x:v>Item Persediaan 32</x:v>
      </x:c>
      <x:c r="C36" s="30" t="str">
        <x:v>Trading Goods</x:v>
      </x:c>
      <x:c r="D36" s="30" t="str">
        <x:v>WH-SBY</x:v>
      </x:c>
      <x:c r="E36" s="30" t="str">
        <x:v>Gudang Surabaya</x:v>
      </x:c>
      <x:c r="F36" s="30" t="str">
        <x:v>Box</x:v>
      </x:c>
      <x:c r="G36" s="32" t="n">
        <x:v>350</x:v>
      </x:c>
      <x:c r="H36" s="34" t="n">
        <x:v>150000</x:v>
      </x:c>
      <x:c r="I36" s="34" t="n">
        <x:f>G36*H36</x:f>
        <x:v>52500000</x:v>
      </x:c>
      <x:c r="J36" s="30" t="str">
        <x:v>1-13001</x:v>
      </x:c>
      <x:c r="K36" s="30" t="str">
        <x:v>5-10001</x:v>
      </x:c>
      <x:c r="L36" s="30" t="str">
        <x:v>LOT-2025032</x:v>
      </x:c>
      <x:c r="M36" s="36"/>
      <x:c r="N36" s="30" t="str">
        <x:v>Surabaya</x:v>
      </x:c>
      <x:c r="O36" s="30" t="str"/>
      <x:c r="P36" s="30" t="str">
        <x:v>Contoh opening stock</x:v>
      </x:c>
    </x:row>
    <x:row r="37">
      <x:c r="A37" s="30" t="str">
        <x:v>ITEM-033</x:v>
      </x:c>
      <x:c r="B37" s="30" t="str">
        <x:v>Item Persediaan 33</x:v>
      </x:c>
      <x:c r="C37" s="30" t="str">
        <x:v>Packaging</x:v>
      </x:c>
      <x:c r="D37" s="30" t="str">
        <x:v>WH-JKT</x:v>
      </x:c>
      <x:c r="E37" s="30" t="str">
        <x:v>Gudang Jakarta</x:v>
      </x:c>
      <x:c r="F37" s="30" t="str">
        <x:v>Unit</x:v>
      </x:c>
      <x:c r="G37" s="32" t="n">
        <x:v>375</x:v>
      </x:c>
      <x:c r="H37" s="34" t="n">
        <x:v>167500</x:v>
      </x:c>
      <x:c r="I37" s="34" t="n">
        <x:f>G37*H37</x:f>
        <x:v>62812500</x:v>
      </x:c>
      <x:c r="J37" s="30" t="str">
        <x:v>1-13001</x:v>
      </x:c>
      <x:c r="K37" s="30" t="str">
        <x:v>5-10001</x:v>
      </x:c>
      <x:c r="L37" s="30" t="str">
        <x:v>LOT-2025033</x:v>
      </x:c>
      <x:c r="M37" s="36"/>
      <x:c r="N37" s="30" t="str">
        <x:v>Jakarta</x:v>
      </x:c>
      <x:c r="O37" s="30" t="str"/>
      <x:c r="P37" s="30" t="str">
        <x:v>Contoh opening stock</x:v>
      </x:c>
    </x:row>
    <x:row r="38">
      <x:c r="A38" s="30" t="str">
        <x:v>ITEM-034</x:v>
      </x:c>
      <x:c r="B38" s="30" t="str">
        <x:v>Item Persediaan 34</x:v>
      </x:c>
      <x:c r="C38" s="30" t="str">
        <x:v>Spare Parts</x:v>
      </x:c>
      <x:c r="D38" s="30" t="str">
        <x:v>WH-BALI</x:v>
      </x:c>
      <x:c r="E38" s="30" t="str">
        <x:v>Gudang Bali</x:v>
      </x:c>
      <x:c r="F38" s="30" t="str">
        <x:v>Pack</x:v>
      </x:c>
      <x:c r="G38" s="32" t="n">
        <x:v>400</x:v>
      </x:c>
      <x:c r="H38" s="34" t="n">
        <x:v>185000</x:v>
      </x:c>
      <x:c r="I38" s="34" t="n">
        <x:f>G38*H38</x:f>
        <x:v>74000000</x:v>
      </x:c>
      <x:c r="J38" s="30" t="str">
        <x:v>1-13001</x:v>
      </x:c>
      <x:c r="K38" s="30" t="str">
        <x:v>5-10001</x:v>
      </x:c>
      <x:c r="L38" s="30" t="str">
        <x:v>LOT-2025034</x:v>
      </x:c>
      <x:c r="M38" s="36"/>
      <x:c r="N38" s="30" t="str">
        <x:v>Bali</x:v>
      </x:c>
      <x:c r="O38" s="30" t="str"/>
      <x:c r="P38" s="30" t="str">
        <x:v>Contoh opening stock</x:v>
      </x:c>
    </x:row>
    <x:row r="39">
      <x:c r="A39" s="30" t="str">
        <x:v>ITEM-035</x:v>
      </x:c>
      <x:c r="B39" s="30" t="str">
        <x:v>Item Persediaan 35</x:v>
      </x:c>
      <x:c r="C39" s="30" t="str">
        <x:v>Office Supplies</x:v>
      </x:c>
      <x:c r="D39" s="30" t="str">
        <x:v>WH-SBY</x:v>
      </x:c>
      <x:c r="E39" s="30" t="str">
        <x:v>Gudang Surabaya</x:v>
      </x:c>
      <x:c r="F39" s="30" t="str">
        <x:v>Pcs</x:v>
      </x:c>
      <x:c r="G39" s="32" t="n">
        <x:v>425</x:v>
      </x:c>
      <x:c r="H39" s="34" t="n">
        <x:v>202500</x:v>
      </x:c>
      <x:c r="I39" s="34" t="n">
        <x:f>G39*H39</x:f>
        <x:v>86062500</x:v>
      </x:c>
      <x:c r="J39" s="30" t="str">
        <x:v>1-13001</x:v>
      </x:c>
      <x:c r="K39" s="30" t="str">
        <x:v>5-10001</x:v>
      </x:c>
      <x:c r="L39" s="30" t="str">
        <x:v>LOT-2025035</x:v>
      </x:c>
      <x:c r="M39" s="36"/>
      <x:c r="N39" s="30" t="str">
        <x:v>Surabaya</x:v>
      </x:c>
      <x:c r="O39" s="30" t="str">
        <x:v>Project-1</x:v>
      </x:c>
      <x:c r="P39" s="30" t="str">
        <x:v>Contoh opening stock</x:v>
      </x:c>
    </x:row>
    <x:row r="40">
      <x:c r="A40" s="30" t="str">
        <x:v>ITEM-036</x:v>
      </x:c>
      <x:c r="B40" s="30" t="str">
        <x:v>Item Persediaan 36</x:v>
      </x:c>
      <x:c r="C40" s="30" t="str">
        <x:v>Raw Material</x:v>
      </x:c>
      <x:c r="D40" s="30" t="str">
        <x:v>WH-JKT</x:v>
      </x:c>
      <x:c r="E40" s="30" t="str">
        <x:v>Gudang Jakarta</x:v>
      </x:c>
      <x:c r="F40" s="30" t="str">
        <x:v>Kg</x:v>
      </x:c>
      <x:c r="G40" s="32" t="n">
        <x:v>450</x:v>
      </x:c>
      <x:c r="H40" s="34" t="n">
        <x:v>10000</x:v>
      </x:c>
      <x:c r="I40" s="34" t="n">
        <x:f>G40*H40</x:f>
        <x:v>4500000</x:v>
      </x:c>
      <x:c r="J40" s="30" t="str">
        <x:v>1-13001</x:v>
      </x:c>
      <x:c r="K40" s="30" t="str">
        <x:v>5-10001</x:v>
      </x:c>
      <x:c r="L40" s="30" t="str">
        <x:v>LOT-2025036</x:v>
      </x:c>
      <x:c r="M40" s="36"/>
      <x:c r="N40" s="30" t="str">
        <x:v>Jakarta</x:v>
      </x:c>
      <x:c r="O40" s="30" t="str"/>
      <x:c r="P40" s="30" t="str">
        <x:v>Contoh opening stock</x:v>
      </x:c>
    </x:row>
    <x:row r="41">
      <x:c r="A41" s="30" t="str">
        <x:v>ITEM-037</x:v>
      </x:c>
      <x:c r="B41" s="30" t="str">
        <x:v>Item Persediaan 37</x:v>
      </x:c>
      <x:c r="C41" s="30" t="str">
        <x:v>Finished Goods</x:v>
      </x:c>
      <x:c r="D41" s="30" t="str">
        <x:v>WH-BALI</x:v>
      </x:c>
      <x:c r="E41" s="30" t="str">
        <x:v>Gudang Bali</x:v>
      </x:c>
      <x:c r="F41" s="30" t="str">
        <x:v>Box</x:v>
      </x:c>
      <x:c r="G41" s="32" t="n">
        <x:v>475</x:v>
      </x:c>
      <x:c r="H41" s="34" t="n">
        <x:v>27500</x:v>
      </x:c>
      <x:c r="I41" s="34" t="n">
        <x:f>G41*H41</x:f>
        <x:v>13062500</x:v>
      </x:c>
      <x:c r="J41" s="30" t="str">
        <x:v>1-13001</x:v>
      </x:c>
      <x:c r="K41" s="30" t="str">
        <x:v>5-10001</x:v>
      </x:c>
      <x:c r="L41" s="30" t="str">
        <x:v>LOT-2025037</x:v>
      </x:c>
      <x:c r="M41" s="36"/>
      <x:c r="N41" s="30" t="str">
        <x:v>Bali</x:v>
      </x:c>
      <x:c r="O41" s="30" t="str"/>
      <x:c r="P41" s="30" t="str">
        <x:v>Contoh opening stock</x:v>
      </x:c>
    </x:row>
    <x:row r="42">
      <x:c r="A42" s="30" t="str">
        <x:v>ITEM-038</x:v>
      </x:c>
      <x:c r="B42" s="30" t="str">
        <x:v>Item Persediaan 38</x:v>
      </x:c>
      <x:c r="C42" s="30" t="str">
        <x:v>Trading Goods</x:v>
      </x:c>
      <x:c r="D42" s="30" t="str">
        <x:v>WH-SBY</x:v>
      </x:c>
      <x:c r="E42" s="30" t="str">
        <x:v>Gudang Surabaya</x:v>
      </x:c>
      <x:c r="F42" s="30" t="str">
        <x:v>Unit</x:v>
      </x:c>
      <x:c r="G42" s="32" t="n">
        <x:v>500</x:v>
      </x:c>
      <x:c r="H42" s="34" t="n">
        <x:v>45000</x:v>
      </x:c>
      <x:c r="I42" s="34" t="n">
        <x:f>G42*H42</x:f>
        <x:v>22500000</x:v>
      </x:c>
      <x:c r="J42" s="30" t="str">
        <x:v>1-13001</x:v>
      </x:c>
      <x:c r="K42" s="30" t="str">
        <x:v>5-10001</x:v>
      </x:c>
      <x:c r="L42" s="30" t="str">
        <x:v>LOT-2025038</x:v>
      </x:c>
      <x:c r="M42" s="36"/>
      <x:c r="N42" s="30" t="str">
        <x:v>Surabaya</x:v>
      </x:c>
      <x:c r="O42" s="30" t="str"/>
      <x:c r="P42" s="30" t="str">
        <x:v>Contoh opening stock</x:v>
      </x:c>
    </x:row>
    <x:row r="43">
      <x:c r="A43" s="30" t="str">
        <x:v>ITEM-039</x:v>
      </x:c>
      <x:c r="B43" s="30" t="str">
        <x:v>Item Persediaan 39</x:v>
      </x:c>
      <x:c r="C43" s="30" t="str">
        <x:v>Packaging</x:v>
      </x:c>
      <x:c r="D43" s="30" t="str">
        <x:v>WH-JKT</x:v>
      </x:c>
      <x:c r="E43" s="30" t="str">
        <x:v>Gudang Jakarta</x:v>
      </x:c>
      <x:c r="F43" s="30" t="str">
        <x:v>Pack</x:v>
      </x:c>
      <x:c r="G43" s="32" t="n">
        <x:v>525</x:v>
      </x:c>
      <x:c r="H43" s="34" t="n">
        <x:v>62500</x:v>
      </x:c>
      <x:c r="I43" s="34" t="n">
        <x:f>G43*H43</x:f>
        <x:v>32812500</x:v>
      </x:c>
      <x:c r="J43" s="30" t="str">
        <x:v>1-13001</x:v>
      </x:c>
      <x:c r="K43" s="30" t="str">
        <x:v>5-10001</x:v>
      </x:c>
      <x:c r="L43" s="30" t="str">
        <x:v>LOT-2025039</x:v>
      </x:c>
      <x:c r="M43" s="36"/>
      <x:c r="N43" s="30" t="str">
        <x:v>Jakarta</x:v>
      </x:c>
      <x:c r="O43" s="30" t="str"/>
      <x:c r="P43" s="30" t="str">
        <x:v>Contoh opening stock</x:v>
      </x:c>
    </x:row>
    <x:row r="44">
      <x:c r="A44" s="30" t="str">
        <x:v>ITEM-040</x:v>
      </x:c>
      <x:c r="B44" s="30" t="str">
        <x:v>Item Persediaan 40</x:v>
      </x:c>
      <x:c r="C44" s="30" t="str">
        <x:v>Spare Parts</x:v>
      </x:c>
      <x:c r="D44" s="30" t="str">
        <x:v>WH-BALI</x:v>
      </x:c>
      <x:c r="E44" s="30" t="str">
        <x:v>Gudang Bali</x:v>
      </x:c>
      <x:c r="F44" s="30" t="str">
        <x:v>Pcs</x:v>
      </x:c>
      <x:c r="G44" s="32" t="n">
        <x:v>50</x:v>
      </x:c>
      <x:c r="H44" s="34" t="n">
        <x:v>80000</x:v>
      </x:c>
      <x:c r="I44" s="34" t="n">
        <x:f>G44*H44</x:f>
        <x:v>4000000</x:v>
      </x:c>
      <x:c r="J44" s="30" t="str">
        <x:v>1-13001</x:v>
      </x:c>
      <x:c r="K44" s="30" t="str">
        <x:v>5-10001</x:v>
      </x:c>
      <x:c r="L44" s="30" t="str">
        <x:v>LOT-2025040</x:v>
      </x:c>
      <x:c r="M44" s="36"/>
      <x:c r="N44" s="30" t="str">
        <x:v>Bali</x:v>
      </x:c>
      <x:c r="O44" s="30" t="str"/>
      <x:c r="P44" s="30" t="str">
        <x:v>Contoh opening stock</x:v>
      </x:c>
    </x:row>
    <x:row r="45">
      <x:c r="A45" s="30" t="str">
        <x:v>ITEM-041</x:v>
      </x:c>
      <x:c r="B45" s="30" t="str">
        <x:v>Item Persediaan 41</x:v>
      </x:c>
      <x:c r="C45" s="30" t="str">
        <x:v>Office Supplies</x:v>
      </x:c>
      <x:c r="D45" s="30" t="str">
        <x:v>WH-SBY</x:v>
      </x:c>
      <x:c r="E45" s="30" t="str">
        <x:v>Gudang Surabaya</x:v>
      </x:c>
      <x:c r="F45" s="30" t="str">
        <x:v>Kg</x:v>
      </x:c>
      <x:c r="G45" s="32" t="n">
        <x:v>75</x:v>
      </x:c>
      <x:c r="H45" s="34" t="n">
        <x:v>97500</x:v>
      </x:c>
      <x:c r="I45" s="34" t="n">
        <x:f>G45*H45</x:f>
        <x:v>7312500</x:v>
      </x:c>
      <x:c r="J45" s="30" t="str">
        <x:v>1-13001</x:v>
      </x:c>
      <x:c r="K45" s="30" t="str">
        <x:v>5-10001</x:v>
      </x:c>
      <x:c r="L45" s="30" t="str">
        <x:v>LOT-2025041</x:v>
      </x:c>
      <x:c r="M45" s="36"/>
      <x:c r="N45" s="30" t="str">
        <x:v>Surabaya</x:v>
      </x:c>
      <x:c r="O45" s="30" t="str"/>
      <x:c r="P45" s="30" t="str">
        <x:v>Contoh opening stock</x:v>
      </x:c>
    </x:row>
    <x:row r="46">
      <x:c r="A46" s="30" t="str">
        <x:v>ITEM-042</x:v>
      </x:c>
      <x:c r="B46" s="30" t="str">
        <x:v>Item Persediaan 42</x:v>
      </x:c>
      <x:c r="C46" s="30" t="str">
        <x:v>Raw Material</x:v>
      </x:c>
      <x:c r="D46" s="30" t="str">
        <x:v>WH-JKT</x:v>
      </x:c>
      <x:c r="E46" s="30" t="str">
        <x:v>Gudang Jakarta</x:v>
      </x:c>
      <x:c r="F46" s="30" t="str">
        <x:v>Box</x:v>
      </x:c>
      <x:c r="G46" s="32" t="n">
        <x:v>100</x:v>
      </x:c>
      <x:c r="H46" s="34" t="n">
        <x:v>115000</x:v>
      </x:c>
      <x:c r="I46" s="34" t="n">
        <x:f>G46*H46</x:f>
        <x:v>11500000</x:v>
      </x:c>
      <x:c r="J46" s="30" t="str">
        <x:v>1-13001</x:v>
      </x:c>
      <x:c r="K46" s="30" t="str">
        <x:v>5-10001</x:v>
      </x:c>
      <x:c r="L46" s="30" t="str">
        <x:v>LOT-2025042</x:v>
      </x:c>
      <x:c r="M46" s="36"/>
      <x:c r="N46" s="30" t="str">
        <x:v>Jakarta</x:v>
      </x:c>
      <x:c r="O46" s="30" t="str">
        <x:v>Project-1</x:v>
      </x:c>
      <x:c r="P46" s="30" t="str">
        <x:v>Contoh opening stock</x:v>
      </x:c>
    </x:row>
    <x:row r="47">
      <x:c r="A47" s="30" t="str">
        <x:v>ITEM-043</x:v>
      </x:c>
      <x:c r="B47" s="30" t="str">
        <x:v>Item Persediaan 43</x:v>
      </x:c>
      <x:c r="C47" s="30" t="str">
        <x:v>Finished Goods</x:v>
      </x:c>
      <x:c r="D47" s="30" t="str">
        <x:v>WH-BALI</x:v>
      </x:c>
      <x:c r="E47" s="30" t="str">
        <x:v>Gudang Bali</x:v>
      </x:c>
      <x:c r="F47" s="30" t="str">
        <x:v>Unit</x:v>
      </x:c>
      <x:c r="G47" s="32" t="n">
        <x:v>125</x:v>
      </x:c>
      <x:c r="H47" s="34" t="n">
        <x:v>132500</x:v>
      </x:c>
      <x:c r="I47" s="34" t="n">
        <x:f>G47*H47</x:f>
        <x:v>16562500</x:v>
      </x:c>
      <x:c r="J47" s="30" t="str">
        <x:v>1-13001</x:v>
      </x:c>
      <x:c r="K47" s="30" t="str">
        <x:v>5-10001</x:v>
      </x:c>
      <x:c r="L47" s="30" t="str">
        <x:v>LOT-2025043</x:v>
      </x:c>
      <x:c r="M47" s="36"/>
      <x:c r="N47" s="30" t="str">
        <x:v>Bali</x:v>
      </x:c>
      <x:c r="O47" s="30" t="str"/>
      <x:c r="P47" s="30" t="str">
        <x:v>Contoh opening stock</x:v>
      </x:c>
    </x:row>
    <x:row r="48">
      <x:c r="A48" s="30" t="str">
        <x:v>ITEM-044</x:v>
      </x:c>
      <x:c r="B48" s="30" t="str">
        <x:v>Item Persediaan 44</x:v>
      </x:c>
      <x:c r="C48" s="30" t="str">
        <x:v>Trading Goods</x:v>
      </x:c>
      <x:c r="D48" s="30" t="str">
        <x:v>WH-SBY</x:v>
      </x:c>
      <x:c r="E48" s="30" t="str">
        <x:v>Gudang Surabaya</x:v>
      </x:c>
      <x:c r="F48" s="30" t="str">
        <x:v>Pack</x:v>
      </x:c>
      <x:c r="G48" s="32" t="n">
        <x:v>150</x:v>
      </x:c>
      <x:c r="H48" s="34" t="n">
        <x:v>150000</x:v>
      </x:c>
      <x:c r="I48" s="34" t="n">
        <x:f>G48*H48</x:f>
        <x:v>22500000</x:v>
      </x:c>
      <x:c r="J48" s="30" t="str">
        <x:v>1-13001</x:v>
      </x:c>
      <x:c r="K48" s="30" t="str">
        <x:v>5-10001</x:v>
      </x:c>
      <x:c r="L48" s="30" t="str">
        <x:v>LOT-2025044</x:v>
      </x:c>
      <x:c r="M48" s="36"/>
      <x:c r="N48" s="30" t="str">
        <x:v>Surabaya</x:v>
      </x:c>
      <x:c r="O48" s="30" t="str"/>
      <x:c r="P48" s="30" t="str">
        <x:v>Contoh opening stock</x:v>
      </x:c>
    </x:row>
    <x:row r="49">
      <x:c r="A49" s="30" t="str">
        <x:v>ITEM-045</x:v>
      </x:c>
      <x:c r="B49" s="30" t="str">
        <x:v>Item Persediaan 45</x:v>
      </x:c>
      <x:c r="C49" s="30" t="str">
        <x:v>Packaging</x:v>
      </x:c>
      <x:c r="D49" s="30" t="str">
        <x:v>WH-JKT</x:v>
      </x:c>
      <x:c r="E49" s="30" t="str">
        <x:v>Gudang Jakarta</x:v>
      </x:c>
      <x:c r="F49" s="30" t="str">
        <x:v>Pcs</x:v>
      </x:c>
      <x:c r="G49" s="32" t="n">
        <x:v>175</x:v>
      </x:c>
      <x:c r="H49" s="34" t="n">
        <x:v>167500</x:v>
      </x:c>
      <x:c r="I49" s="34" t="n">
        <x:f>G49*H49</x:f>
        <x:v>29312500</x:v>
      </x:c>
      <x:c r="J49" s="30" t="str">
        <x:v>1-13001</x:v>
      </x:c>
      <x:c r="K49" s="30" t="str">
        <x:v>5-10001</x:v>
      </x:c>
      <x:c r="L49" s="30" t="str">
        <x:v>LOT-2025045</x:v>
      </x:c>
      <x:c r="M49" s="36"/>
      <x:c r="N49" s="30" t="str">
        <x:v>Jakarta</x:v>
      </x:c>
      <x:c r="O49" s="30" t="str"/>
      <x:c r="P49" s="30" t="str">
        <x:v>Contoh opening stock</x:v>
      </x:c>
    </x:row>
    <x:row r="50">
      <x:c r="A50" s="30" t="str">
        <x:v>ITEM-046</x:v>
      </x:c>
      <x:c r="B50" s="30" t="str">
        <x:v>Item Persediaan 46</x:v>
      </x:c>
      <x:c r="C50" s="30" t="str">
        <x:v>Spare Parts</x:v>
      </x:c>
      <x:c r="D50" s="30" t="str">
        <x:v>WH-BALI</x:v>
      </x:c>
      <x:c r="E50" s="30" t="str">
        <x:v>Gudang Bali</x:v>
      </x:c>
      <x:c r="F50" s="30" t="str">
        <x:v>Kg</x:v>
      </x:c>
      <x:c r="G50" s="32" t="n">
        <x:v>200</x:v>
      </x:c>
      <x:c r="H50" s="34" t="n">
        <x:v>185000</x:v>
      </x:c>
      <x:c r="I50" s="34" t="n">
        <x:f>G50*H50</x:f>
        <x:v>37000000</x:v>
      </x:c>
      <x:c r="J50" s="30" t="str">
        <x:v>1-13001</x:v>
      </x:c>
      <x:c r="K50" s="30" t="str">
        <x:v>5-10001</x:v>
      </x:c>
      <x:c r="L50" s="30" t="str">
        <x:v>LOT-2025046</x:v>
      </x:c>
      <x:c r="M50" s="36"/>
      <x:c r="N50" s="30" t="str">
        <x:v>Bali</x:v>
      </x:c>
      <x:c r="O50" s="30" t="str"/>
      <x:c r="P50" s="30" t="str">
        <x:v>Contoh opening stock</x:v>
      </x:c>
    </x:row>
    <x:row r="51">
      <x:c r="A51" s="30" t="str">
        <x:v>ITEM-047</x:v>
      </x:c>
      <x:c r="B51" s="30" t="str">
        <x:v>Item Persediaan 47</x:v>
      </x:c>
      <x:c r="C51" s="30" t="str">
        <x:v>Office Supplies</x:v>
      </x:c>
      <x:c r="D51" s="30" t="str">
        <x:v>WH-SBY</x:v>
      </x:c>
      <x:c r="E51" s="30" t="str">
        <x:v>Gudang Surabaya</x:v>
      </x:c>
      <x:c r="F51" s="30" t="str">
        <x:v>Box</x:v>
      </x:c>
      <x:c r="G51" s="32" t="n">
        <x:v>225</x:v>
      </x:c>
      <x:c r="H51" s="34" t="n">
        <x:v>202500</x:v>
      </x:c>
      <x:c r="I51" s="34" t="n">
        <x:f>G51*H51</x:f>
        <x:v>45562500</x:v>
      </x:c>
      <x:c r="J51" s="30" t="str">
        <x:v>1-13001</x:v>
      </x:c>
      <x:c r="K51" s="30" t="str">
        <x:v>5-10001</x:v>
      </x:c>
      <x:c r="L51" s="30" t="str">
        <x:v>LOT-2025047</x:v>
      </x:c>
      <x:c r="M51" s="36"/>
      <x:c r="N51" s="30" t="str">
        <x:v>Surabaya</x:v>
      </x:c>
      <x:c r="O51" s="30" t="str"/>
      <x:c r="P51" s="30" t="str">
        <x:v>Contoh opening stock</x:v>
      </x:c>
    </x:row>
    <x:row r="52">
      <x:c r="A52" s="30" t="str">
        <x:v>ITEM-048</x:v>
      </x:c>
      <x:c r="B52" s="30" t="str">
        <x:v>Item Persediaan 48</x:v>
      </x:c>
      <x:c r="C52" s="30" t="str">
        <x:v>Raw Material</x:v>
      </x:c>
      <x:c r="D52" s="30" t="str">
        <x:v>WH-JKT</x:v>
      </x:c>
      <x:c r="E52" s="30" t="str">
        <x:v>Gudang Jakarta</x:v>
      </x:c>
      <x:c r="F52" s="30" t="str">
        <x:v>Unit</x:v>
      </x:c>
      <x:c r="G52" s="32" t="n">
        <x:v>250</x:v>
      </x:c>
      <x:c r="H52" s="34" t="n">
        <x:v>10000</x:v>
      </x:c>
      <x:c r="I52" s="34" t="n">
        <x:f>G52*H52</x:f>
        <x:v>2500000</x:v>
      </x:c>
      <x:c r="J52" s="30" t="str">
        <x:v>1-13001</x:v>
      </x:c>
      <x:c r="K52" s="30" t="str">
        <x:v>5-10001</x:v>
      </x:c>
      <x:c r="L52" s="30" t="str">
        <x:v>LOT-2025048</x:v>
      </x:c>
      <x:c r="M52" s="36"/>
      <x:c r="N52" s="30" t="str">
        <x:v>Jakarta</x:v>
      </x:c>
      <x:c r="O52" s="30" t="str"/>
      <x:c r="P52" s="30" t="str">
        <x:v>Contoh opening stock</x:v>
      </x:c>
    </x:row>
    <x:row r="53">
      <x:c r="A53" s="30" t="str">
        <x:v>ITEM-049</x:v>
      </x:c>
      <x:c r="B53" s="30" t="str">
        <x:v>Item Persediaan 49</x:v>
      </x:c>
      <x:c r="C53" s="30" t="str">
        <x:v>Finished Goods</x:v>
      </x:c>
      <x:c r="D53" s="30" t="str">
        <x:v>WH-BALI</x:v>
      </x:c>
      <x:c r="E53" s="30" t="str">
        <x:v>Gudang Bali</x:v>
      </x:c>
      <x:c r="F53" s="30" t="str">
        <x:v>Pack</x:v>
      </x:c>
      <x:c r="G53" s="32" t="n">
        <x:v>275</x:v>
      </x:c>
      <x:c r="H53" s="34" t="n">
        <x:v>27500</x:v>
      </x:c>
      <x:c r="I53" s="34" t="n">
        <x:f>G53*H53</x:f>
        <x:v>7562500</x:v>
      </x:c>
      <x:c r="J53" s="30" t="str">
        <x:v>1-13001</x:v>
      </x:c>
      <x:c r="K53" s="30" t="str">
        <x:v>5-10001</x:v>
      </x:c>
      <x:c r="L53" s="30" t="str">
        <x:v>LOT-2025049</x:v>
      </x:c>
      <x:c r="M53" s="36"/>
      <x:c r="N53" s="30" t="str">
        <x:v>Bali</x:v>
      </x:c>
      <x:c r="O53" s="30" t="str">
        <x:v>Project-1</x:v>
      </x:c>
      <x:c r="P53" s="30" t="str">
        <x:v>Contoh opening stock</x:v>
      </x:c>
    </x:row>
    <x:row r="54">
      <x:c r="A54" s="30" t="str">
        <x:v>ITEM-050</x:v>
      </x:c>
      <x:c r="B54" s="30" t="str">
        <x:v>Item Persediaan 50</x:v>
      </x:c>
      <x:c r="C54" s="30" t="str">
        <x:v>Trading Goods</x:v>
      </x:c>
      <x:c r="D54" s="30" t="str">
        <x:v>WH-SBY</x:v>
      </x:c>
      <x:c r="E54" s="30" t="str">
        <x:v>Gudang Surabaya</x:v>
      </x:c>
      <x:c r="F54" s="30" t="str">
        <x:v>Pcs</x:v>
      </x:c>
      <x:c r="G54" s="32" t="n">
        <x:v>300</x:v>
      </x:c>
      <x:c r="H54" s="34" t="n">
        <x:v>45000</x:v>
      </x:c>
      <x:c r="I54" s="34" t="n">
        <x:f>G54*H54</x:f>
        <x:v>13500000</x:v>
      </x:c>
      <x:c r="J54" s="30" t="str">
        <x:v>1-13001</x:v>
      </x:c>
      <x:c r="K54" s="30" t="str">
        <x:v>5-10001</x:v>
      </x:c>
      <x:c r="L54" s="30" t="str">
        <x:v>LOT-2025050</x:v>
      </x:c>
      <x:c r="M54" s="36"/>
      <x:c r="N54" s="30" t="str">
        <x:v>Surabaya</x:v>
      </x:c>
      <x:c r="O54" s="30" t="str"/>
      <x:c r="P54" s="30" t="str">
        <x:v>Contoh opening stock</x:v>
      </x:c>
    </x:row>
    <x:row r="55">
      <x:c r="A55" s="30" t="str">
        <x:v>ITEM-051</x:v>
      </x:c>
      <x:c r="B55" s="30" t="str">
        <x:v>Item Persediaan 51</x:v>
      </x:c>
      <x:c r="C55" s="30" t="str">
        <x:v>Packaging</x:v>
      </x:c>
      <x:c r="D55" s="30" t="str">
        <x:v>WH-JKT</x:v>
      </x:c>
      <x:c r="E55" s="30" t="str">
        <x:v>Gudang Jakarta</x:v>
      </x:c>
      <x:c r="F55" s="30" t="str">
        <x:v>Kg</x:v>
      </x:c>
      <x:c r="G55" s="32" t="n">
        <x:v>325</x:v>
      </x:c>
      <x:c r="H55" s="34" t="n">
        <x:v>62500</x:v>
      </x:c>
      <x:c r="I55" s="34" t="n">
        <x:f>G55*H55</x:f>
        <x:v>20312500</x:v>
      </x:c>
      <x:c r="J55" s="30" t="str">
        <x:v>1-13001</x:v>
      </x:c>
      <x:c r="K55" s="30" t="str">
        <x:v>5-10001</x:v>
      </x:c>
      <x:c r="L55" s="30" t="str">
        <x:v>LOT-2025051</x:v>
      </x:c>
      <x:c r="M55" s="36"/>
      <x:c r="N55" s="30" t="str">
        <x:v>Jakarta</x:v>
      </x:c>
      <x:c r="O55" s="30" t="str"/>
      <x:c r="P55" s="30" t="str">
        <x:v>Contoh opening stock</x:v>
      </x:c>
    </x:row>
    <x:row r="56">
      <x:c r="A56" s="30" t="str">
        <x:v>ITEM-052</x:v>
      </x:c>
      <x:c r="B56" s="30" t="str">
        <x:v>Item Persediaan 52</x:v>
      </x:c>
      <x:c r="C56" s="30" t="str">
        <x:v>Spare Parts</x:v>
      </x:c>
      <x:c r="D56" s="30" t="str">
        <x:v>WH-BALI</x:v>
      </x:c>
      <x:c r="E56" s="30" t="str">
        <x:v>Gudang Bali</x:v>
      </x:c>
      <x:c r="F56" s="30" t="str">
        <x:v>Box</x:v>
      </x:c>
      <x:c r="G56" s="32" t="n">
        <x:v>350</x:v>
      </x:c>
      <x:c r="H56" s="34" t="n">
        <x:v>80000</x:v>
      </x:c>
      <x:c r="I56" s="34" t="n">
        <x:f>G56*H56</x:f>
        <x:v>28000000</x:v>
      </x:c>
      <x:c r="J56" s="30" t="str">
        <x:v>1-13001</x:v>
      </x:c>
      <x:c r="K56" s="30" t="str">
        <x:v>5-10001</x:v>
      </x:c>
      <x:c r="L56" s="30" t="str">
        <x:v>LOT-2025052</x:v>
      </x:c>
      <x:c r="M56" s="36"/>
      <x:c r="N56" s="30" t="str">
        <x:v>Bali</x:v>
      </x:c>
      <x:c r="O56" s="30" t="str"/>
      <x:c r="P56" s="30" t="str">
        <x:v>Contoh opening stock</x:v>
      </x:c>
    </x:row>
    <x:row r="57">
      <x:c r="A57" s="30" t="str">
        <x:v>ITEM-053</x:v>
      </x:c>
      <x:c r="B57" s="30" t="str">
        <x:v>Item Persediaan 53</x:v>
      </x:c>
      <x:c r="C57" s="30" t="str">
        <x:v>Office Supplies</x:v>
      </x:c>
      <x:c r="D57" s="30" t="str">
        <x:v>WH-SBY</x:v>
      </x:c>
      <x:c r="E57" s="30" t="str">
        <x:v>Gudang Surabaya</x:v>
      </x:c>
      <x:c r="F57" s="30" t="str">
        <x:v>Unit</x:v>
      </x:c>
      <x:c r="G57" s="32" t="n">
        <x:v>375</x:v>
      </x:c>
      <x:c r="H57" s="34" t="n">
        <x:v>97500</x:v>
      </x:c>
      <x:c r="I57" s="34" t="n">
        <x:f>G57*H57</x:f>
        <x:v>36562500</x:v>
      </x:c>
      <x:c r="J57" s="30" t="str">
        <x:v>1-13001</x:v>
      </x:c>
      <x:c r="K57" s="30" t="str">
        <x:v>5-10001</x:v>
      </x:c>
      <x:c r="L57" s="30" t="str">
        <x:v>LOT-2025053</x:v>
      </x:c>
      <x:c r="M57" s="36"/>
      <x:c r="N57" s="30" t="str">
        <x:v>Surabaya</x:v>
      </x:c>
      <x:c r="O57" s="30" t="str"/>
      <x:c r="P57" s="30" t="str">
        <x:v>Contoh opening stock</x:v>
      </x:c>
    </x:row>
    <x:row r="58">
      <x:c r="A58" s="30" t="str">
        <x:v>ITEM-054</x:v>
      </x:c>
      <x:c r="B58" s="30" t="str">
        <x:v>Item Persediaan 54</x:v>
      </x:c>
      <x:c r="C58" s="30" t="str">
        <x:v>Raw Material</x:v>
      </x:c>
      <x:c r="D58" s="30" t="str">
        <x:v>WH-JKT</x:v>
      </x:c>
      <x:c r="E58" s="30" t="str">
        <x:v>Gudang Jakarta</x:v>
      </x:c>
      <x:c r="F58" s="30" t="str">
        <x:v>Pack</x:v>
      </x:c>
      <x:c r="G58" s="32" t="n">
        <x:v>400</x:v>
      </x:c>
      <x:c r="H58" s="34" t="n">
        <x:v>115000</x:v>
      </x:c>
      <x:c r="I58" s="34" t="n">
        <x:f>G58*H58</x:f>
        <x:v>46000000</x:v>
      </x:c>
      <x:c r="J58" s="30" t="str">
        <x:v>1-13001</x:v>
      </x:c>
      <x:c r="K58" s="30" t="str">
        <x:v>5-10001</x:v>
      </x:c>
      <x:c r="L58" s="30" t="str">
        <x:v>LOT-2025054</x:v>
      </x:c>
      <x:c r="M58" s="36"/>
      <x:c r="N58" s="30" t="str">
        <x:v>Jakarta</x:v>
      </x:c>
      <x:c r="O58" s="30" t="str"/>
      <x:c r="P58" s="30" t="str">
        <x:v>Contoh opening stock</x:v>
      </x:c>
    </x:row>
    <x:row r="59">
      <x:c r="A59" s="30" t="str">
        <x:v>ITEM-055</x:v>
      </x:c>
      <x:c r="B59" s="30" t="str">
        <x:v>Item Persediaan 55</x:v>
      </x:c>
      <x:c r="C59" s="30" t="str">
        <x:v>Finished Goods</x:v>
      </x:c>
      <x:c r="D59" s="30" t="str">
        <x:v>WH-BALI</x:v>
      </x:c>
      <x:c r="E59" s="30" t="str">
        <x:v>Gudang Bali</x:v>
      </x:c>
      <x:c r="F59" s="30" t="str">
        <x:v>Pcs</x:v>
      </x:c>
      <x:c r="G59" s="32" t="n">
        <x:v>425</x:v>
      </x:c>
      <x:c r="H59" s="34" t="n">
        <x:v>132500</x:v>
      </x:c>
      <x:c r="I59" s="34" t="n">
        <x:f>G59*H59</x:f>
        <x:v>56312500</x:v>
      </x:c>
      <x:c r="J59" s="30" t="str">
        <x:v>1-13001</x:v>
      </x:c>
      <x:c r="K59" s="30" t="str">
        <x:v>5-10001</x:v>
      </x:c>
      <x:c r="L59" s="30" t="str">
        <x:v>LOT-2025055</x:v>
      </x:c>
      <x:c r="M59" s="36"/>
      <x:c r="N59" s="30" t="str">
        <x:v>Bali</x:v>
      </x:c>
      <x:c r="O59" s="30" t="str"/>
      <x:c r="P59" s="30" t="str">
        <x:v>Contoh opening stock</x:v>
      </x:c>
    </x:row>
    <x:row r="60">
      <x:c r="A60" s="30" t="str">
        <x:v>ITEM-056</x:v>
      </x:c>
      <x:c r="B60" s="30" t="str">
        <x:v>Item Persediaan 56</x:v>
      </x:c>
      <x:c r="C60" s="30" t="str">
        <x:v>Trading Goods</x:v>
      </x:c>
      <x:c r="D60" s="30" t="str">
        <x:v>WH-SBY</x:v>
      </x:c>
      <x:c r="E60" s="30" t="str">
        <x:v>Gudang Surabaya</x:v>
      </x:c>
      <x:c r="F60" s="30" t="str">
        <x:v>Kg</x:v>
      </x:c>
      <x:c r="G60" s="32" t="n">
        <x:v>450</x:v>
      </x:c>
      <x:c r="H60" s="34" t="n">
        <x:v>150000</x:v>
      </x:c>
      <x:c r="I60" s="34" t="n">
        <x:f>G60*H60</x:f>
        <x:v>67500000</x:v>
      </x:c>
      <x:c r="J60" s="30" t="str">
        <x:v>1-13001</x:v>
      </x:c>
      <x:c r="K60" s="30" t="str">
        <x:v>5-10001</x:v>
      </x:c>
      <x:c r="L60" s="30" t="str">
        <x:v>LOT-2025056</x:v>
      </x:c>
      <x:c r="M60" s="36"/>
      <x:c r="N60" s="30" t="str">
        <x:v>Surabaya</x:v>
      </x:c>
      <x:c r="O60" s="30" t="str">
        <x:v>Project-1</x:v>
      </x:c>
      <x:c r="P60" s="30" t="str">
        <x:v>Contoh opening stock</x:v>
      </x:c>
    </x:row>
    <x:row r="61">
      <x:c r="A61" s="30" t="str">
        <x:v>ITEM-057</x:v>
      </x:c>
      <x:c r="B61" s="30" t="str">
        <x:v>Item Persediaan 57</x:v>
      </x:c>
      <x:c r="C61" s="30" t="str">
        <x:v>Packaging</x:v>
      </x:c>
      <x:c r="D61" s="30" t="str">
        <x:v>WH-JKT</x:v>
      </x:c>
      <x:c r="E61" s="30" t="str">
        <x:v>Gudang Jakarta</x:v>
      </x:c>
      <x:c r="F61" s="30" t="str">
        <x:v>Box</x:v>
      </x:c>
      <x:c r="G61" s="32" t="n">
        <x:v>475</x:v>
      </x:c>
      <x:c r="H61" s="34" t="n">
        <x:v>167500</x:v>
      </x:c>
      <x:c r="I61" s="34" t="n">
        <x:f>G61*H61</x:f>
        <x:v>79562500</x:v>
      </x:c>
      <x:c r="J61" s="30" t="str">
        <x:v>1-13001</x:v>
      </x:c>
      <x:c r="K61" s="30" t="str">
        <x:v>5-10001</x:v>
      </x:c>
      <x:c r="L61" s="30" t="str">
        <x:v>LOT-2025057</x:v>
      </x:c>
      <x:c r="M61" s="36"/>
      <x:c r="N61" s="30" t="str">
        <x:v>Jakarta</x:v>
      </x:c>
      <x:c r="O61" s="30" t="str"/>
      <x:c r="P61" s="30" t="str">
        <x:v>Contoh opening stock</x:v>
      </x:c>
    </x:row>
    <x:row r="62">
      <x:c r="A62" s="30" t="str">
        <x:v>ITEM-058</x:v>
      </x:c>
      <x:c r="B62" s="30" t="str">
        <x:v>Item Persediaan 58</x:v>
      </x:c>
      <x:c r="C62" s="30" t="str">
        <x:v>Spare Parts</x:v>
      </x:c>
      <x:c r="D62" s="30" t="str">
        <x:v>WH-BALI</x:v>
      </x:c>
      <x:c r="E62" s="30" t="str">
        <x:v>Gudang Bali</x:v>
      </x:c>
      <x:c r="F62" s="30" t="str">
        <x:v>Unit</x:v>
      </x:c>
      <x:c r="G62" s="32" t="n">
        <x:v>500</x:v>
      </x:c>
      <x:c r="H62" s="34" t="n">
        <x:v>185000</x:v>
      </x:c>
      <x:c r="I62" s="34" t="n">
        <x:f>G62*H62</x:f>
        <x:v>92500000</x:v>
      </x:c>
      <x:c r="J62" s="30" t="str">
        <x:v>1-13001</x:v>
      </x:c>
      <x:c r="K62" s="30" t="str">
        <x:v>5-10001</x:v>
      </x:c>
      <x:c r="L62" s="30" t="str">
        <x:v>LOT-2025058</x:v>
      </x:c>
      <x:c r="M62" s="36"/>
      <x:c r="N62" s="30" t="str">
        <x:v>Bali</x:v>
      </x:c>
      <x:c r="O62" s="30" t="str"/>
      <x:c r="P62" s="30" t="str">
        <x:v>Contoh opening stock</x:v>
      </x:c>
    </x:row>
    <x:row r="63">
      <x:c r="A63" s="30" t="str">
        <x:v>ITEM-059</x:v>
      </x:c>
      <x:c r="B63" s="30" t="str">
        <x:v>Item Persediaan 59</x:v>
      </x:c>
      <x:c r="C63" s="30" t="str">
        <x:v>Office Supplies</x:v>
      </x:c>
      <x:c r="D63" s="30" t="str">
        <x:v>WH-SBY</x:v>
      </x:c>
      <x:c r="E63" s="30" t="str">
        <x:v>Gudang Surabaya</x:v>
      </x:c>
      <x:c r="F63" s="30" t="str">
        <x:v>Pack</x:v>
      </x:c>
      <x:c r="G63" s="32" t="n">
        <x:v>525</x:v>
      </x:c>
      <x:c r="H63" s="34" t="n">
        <x:v>202500</x:v>
      </x:c>
      <x:c r="I63" s="34" t="n">
        <x:f>G63*H63</x:f>
        <x:v>106312500</x:v>
      </x:c>
      <x:c r="J63" s="30" t="str">
        <x:v>1-13001</x:v>
      </x:c>
      <x:c r="K63" s="30" t="str">
        <x:v>5-10001</x:v>
      </x:c>
      <x:c r="L63" s="30" t="str">
        <x:v>LOT-2025059</x:v>
      </x:c>
      <x:c r="M63" s="36"/>
      <x:c r="N63" s="30" t="str">
        <x:v>Surabaya</x:v>
      </x:c>
      <x:c r="O63" s="30" t="str"/>
      <x:c r="P63" s="30" t="str">
        <x:v>Contoh opening stock</x:v>
      </x:c>
    </x:row>
    <x:row r="64">
      <x:c r="A64" s="30" t="str">
        <x:v>ITEM-060</x:v>
      </x:c>
      <x:c r="B64" s="30" t="str">
        <x:v>Item Persediaan 60</x:v>
      </x:c>
      <x:c r="C64" s="30" t="str">
        <x:v>Raw Material</x:v>
      </x:c>
      <x:c r="D64" s="30" t="str">
        <x:v>WH-JKT</x:v>
      </x:c>
      <x:c r="E64" s="30" t="str">
        <x:v>Gudang Jakarta</x:v>
      </x:c>
      <x:c r="F64" s="30" t="str">
        <x:v>Pcs</x:v>
      </x:c>
      <x:c r="G64" s="32" t="n">
        <x:v>50</x:v>
      </x:c>
      <x:c r="H64" s="34" t="n">
        <x:v>10000</x:v>
      </x:c>
      <x:c r="I64" s="34" t="n">
        <x:f>G64*H64</x:f>
        <x:v>500000</x:v>
      </x:c>
      <x:c r="J64" s="30" t="str">
        <x:v>1-13001</x:v>
      </x:c>
      <x:c r="K64" s="30" t="str">
        <x:v>5-10001</x:v>
      </x:c>
      <x:c r="L64" s="30" t="str">
        <x:v>LOT-2025060</x:v>
      </x:c>
      <x:c r="M64" s="36"/>
      <x:c r="N64" s="30" t="str">
        <x:v>Jakarta</x:v>
      </x:c>
      <x:c r="O64" s="30" t="str"/>
      <x:c r="P64" s="30" t="str">
        <x:v>Contoh opening stock</x:v>
      </x:c>
    </x:row>
    <x:row r="65">
      <x:c r="M65" s="37"/>
    </x:row>
    <x:row r="66">
      <x:c r="M66" s="37"/>
    </x:row>
    <x:row r="67">
      <x:c r="M67" s="37"/>
    </x:row>
    <x:row r="68">
      <x:c r="M68" s="37"/>
    </x:row>
    <x:row r="69">
      <x:c r="M69" s="37"/>
    </x:row>
    <x:row r="70">
      <x:c r="M70" s="37"/>
    </x:row>
    <x:row r="71">
      <x:c r="M71" s="37"/>
    </x:row>
    <x:row r="72">
      <x:c r="M72" s="37"/>
    </x:row>
    <x:row r="73">
      <x:c r="M73" s="37"/>
    </x:row>
    <x:row r="74">
      <x:c r="M74" s="37"/>
    </x:row>
    <x:row r="75">
      <x:c r="M75" s="37"/>
    </x:row>
    <x:row r="76">
      <x:c r="M76" s="37"/>
    </x:row>
    <x:row r="77">
      <x:c r="M77" s="37"/>
    </x:row>
    <x:row r="78">
      <x:c r="M78" s="37"/>
    </x:row>
    <x:row r="79">
      <x:c r="M79" s="37"/>
    </x:row>
    <x:row r="80">
      <x:c r="M80" s="37"/>
    </x:row>
    <x:row r="81">
      <x:c r="M81" s="37"/>
    </x:row>
    <x:row r="82">
      <x:c r="M82" s="37"/>
    </x:row>
    <x:row r="83">
      <x:c r="M83" s="37"/>
    </x:row>
    <x:row r="84">
      <x:c r="M84" s="37"/>
    </x:row>
    <x:row r="85">
      <x:c r="M85" s="37"/>
    </x:row>
    <x:row r="86">
      <x:c r="M86" s="37"/>
    </x:row>
    <x:row r="87">
      <x:c r="M87" s="37"/>
    </x:row>
    <x:row r="88">
      <x:c r="M88" s="37"/>
    </x:row>
    <x:row r="89">
      <x:c r="M89" s="37"/>
    </x:row>
    <x:row r="90">
      <x:c r="M90" s="37"/>
    </x:row>
    <x:row r="91">
      <x:c r="M91" s="37"/>
    </x:row>
    <x:row r="92">
      <x:c r="M92" s="37"/>
    </x:row>
    <x:row r="93">
      <x:c r="M93" s="37"/>
    </x:row>
    <x:row r="94">
      <x:c r="M94" s="37"/>
    </x:row>
    <x:row r="95">
      <x:c r="M95" s="37"/>
    </x:row>
    <x:row r="96">
      <x:c r="M96" s="37"/>
    </x:row>
    <x:row r="97">
      <x:c r="M97" s="37"/>
    </x:row>
    <x:row r="98">
      <x:c r="M98" s="37"/>
    </x:row>
    <x:row r="99">
      <x:c r="M99" s="37"/>
    </x:row>
    <x:row r="100">
      <x:c r="M100" s="37"/>
    </x:row>
    <x:row r="101">
      <x:c r="M101" s="37"/>
    </x:row>
    <x:row r="102">
      <x:c r="M102" s="37"/>
    </x:row>
    <x:row r="103">
      <x:c r="M103" s="37"/>
    </x:row>
    <x:row r="104">
      <x:c r="M104" s="37"/>
    </x:row>
    <x:row r="105">
      <x:c r="M105" s="37"/>
    </x:row>
    <x:row r="106">
      <x:c r="M106" s="37"/>
    </x:row>
    <x:row r="107">
      <x:c r="M107" s="37"/>
    </x:row>
    <x:row r="108">
      <x:c r="M108" s="37"/>
    </x:row>
    <x:row r="109">
      <x:c r="M109" s="37"/>
    </x:row>
    <x:row r="110">
      <x:c r="M110" s="37"/>
    </x:row>
    <x:row r="111">
      <x:c r="M111" s="37"/>
    </x:row>
    <x:row r="112">
      <x:c r="M112" s="37"/>
    </x:row>
    <x:row r="113">
      <x:c r="M113" s="37"/>
    </x:row>
    <x:row r="114">
      <x:c r="M114" s="37"/>
    </x:row>
    <x:row r="115">
      <x:c r="M115" s="37"/>
    </x:row>
    <x:row r="116">
      <x:c r="M116" s="37"/>
    </x:row>
    <x:row r="117">
      <x:c r="M117" s="37"/>
    </x:row>
    <x:row r="118">
      <x:c r="M118" s="37"/>
    </x:row>
    <x:row r="119">
      <x:c r="M119" s="37"/>
    </x:row>
    <x:row r="120">
      <x:c r="M120" s="37"/>
    </x:row>
    <x:row r="121">
      <x:c r="M121" s="37"/>
    </x:row>
    <x:row r="122">
      <x:c r="M122" s="37"/>
    </x:row>
    <x:row r="123">
      <x:c r="M123" s="37"/>
    </x:row>
    <x:row r="124">
      <x:c r="M124" s="37"/>
    </x:row>
    <x:row r="125">
      <x:c r="M125" s="37"/>
    </x:row>
    <x:row r="126">
      <x:c r="M126" s="37"/>
    </x:row>
    <x:row r="127">
      <x:c r="M127" s="37"/>
    </x:row>
    <x:row r="128">
      <x:c r="M128" s="37"/>
    </x:row>
    <x:row r="129">
      <x:c r="M129" s="37"/>
    </x:row>
    <x:row r="130">
      <x:c r="M130" s="37"/>
    </x:row>
    <x:row r="131">
      <x:c r="M131" s="37"/>
    </x:row>
    <x:row r="132">
      <x:c r="M132" s="37"/>
    </x:row>
    <x:row r="133">
      <x:c r="M133" s="37"/>
    </x:row>
    <x:row r="134">
      <x:c r="M134" s="37"/>
    </x:row>
    <x:row r="135">
      <x:c r="M135" s="37"/>
    </x:row>
    <x:row r="136">
      <x:c r="M136" s="37"/>
    </x:row>
    <x:row r="137">
      <x:c r="M137" s="37"/>
    </x:row>
    <x:row r="138">
      <x:c r="M138" s="37"/>
    </x:row>
    <x:row r="139">
      <x:c r="M139" s="37"/>
    </x:row>
    <x:row r="140">
      <x:c r="M140" s="37"/>
    </x:row>
    <x:row r="141">
      <x:c r="M141" s="37"/>
    </x:row>
    <x:row r="142">
      <x:c r="M142" s="37"/>
    </x:row>
    <x:row r="143">
      <x:c r="M143" s="37"/>
    </x:row>
    <x:row r="144">
      <x:c r="M144" s="37"/>
    </x:row>
    <x:row r="145">
      <x:c r="M145" s="37"/>
    </x:row>
    <x:row r="146">
      <x:c r="M146" s="37"/>
    </x:row>
    <x:row r="147">
      <x:c r="M147" s="37"/>
    </x:row>
    <x:row r="148">
      <x:c r="M148" s="37"/>
    </x:row>
    <x:row r="149">
      <x:c r="M149" s="37"/>
    </x:row>
    <x:row r="150">
      <x:c r="M150" s="37"/>
    </x:row>
    <x:row r="151">
      <x:c r="M151" s="37"/>
    </x:row>
    <x:row r="152">
      <x:c r="M152" s="37"/>
    </x:row>
    <x:row r="153">
      <x:c r="M153" s="37"/>
    </x:row>
    <x:row r="154">
      <x:c r="M154" s="37"/>
    </x:row>
    <x:row r="155">
      <x:c r="M155" s="37"/>
    </x:row>
    <x:row r="156">
      <x:c r="M156" s="37"/>
    </x:row>
    <x:row r="157">
      <x:c r="M157" s="37"/>
    </x:row>
    <x:row r="158">
      <x:c r="M158" s="37"/>
    </x:row>
    <x:row r="159">
      <x:c r="M159" s="37"/>
    </x:row>
    <x:row r="160">
      <x:c r="M160" s="37"/>
    </x:row>
    <x:row r="161">
      <x:c r="M161" s="37"/>
    </x:row>
    <x:row r="162">
      <x:c r="M162" s="37"/>
    </x:row>
    <x:row r="163">
      <x:c r="M163" s="37"/>
    </x:row>
    <x:row r="164">
      <x:c r="M164" s="37"/>
    </x:row>
    <x:row r="165">
      <x:c r="M165" s="37"/>
    </x:row>
    <x:row r="166">
      <x:c r="M166" s="37"/>
    </x:row>
    <x:row r="167">
      <x:c r="M167" s="37"/>
    </x:row>
    <x:row r="168">
      <x:c r="M168" s="37"/>
    </x:row>
    <x:row r="169">
      <x:c r="M169" s="37"/>
    </x:row>
    <x:row r="170">
      <x:c r="M170" s="37"/>
    </x:row>
    <x:row r="171">
      <x:c r="M171" s="37"/>
    </x:row>
    <x:row r="172">
      <x:c r="M172" s="37"/>
    </x:row>
    <x:row r="173">
      <x:c r="M173" s="37"/>
    </x:row>
    <x:row r="174">
      <x:c r="M174" s="37"/>
    </x:row>
    <x:row r="175">
      <x:c r="M175" s="37"/>
    </x:row>
    <x:row r="176">
      <x:c r="M176" s="37"/>
    </x:row>
    <x:row r="177">
      <x:c r="M177" s="37"/>
    </x:row>
    <x:row r="178">
      <x:c r="M178" s="37"/>
    </x:row>
    <x:row r="179">
      <x:c r="M179" s="37"/>
    </x:row>
    <x:row r="180">
      <x:c r="M180" s="37"/>
    </x:row>
    <x:row r="181">
      <x:c r="M181" s="37"/>
    </x:row>
    <x:row r="182">
      <x:c r="M182" s="37"/>
    </x:row>
    <x:row r="183">
      <x:c r="M183" s="37"/>
    </x:row>
    <x:row r="184">
      <x:c r="M184" s="37"/>
    </x:row>
    <x:row r="185">
      <x:c r="M185" s="37"/>
    </x:row>
    <x:row r="186">
      <x:c r="M186" s="37"/>
    </x:row>
    <x:row r="187">
      <x:c r="M187" s="37"/>
    </x:row>
    <x:row r="188">
      <x:c r="M188" s="37"/>
    </x:row>
    <x:row r="189">
      <x:c r="M189" s="37"/>
    </x:row>
    <x:row r="190">
      <x:c r="M190" s="37"/>
    </x:row>
    <x:row r="191">
      <x:c r="M191" s="37"/>
    </x:row>
    <x:row r="192">
      <x:c r="M192" s="37"/>
    </x:row>
    <x:row r="193">
      <x:c r="M193" s="37"/>
    </x:row>
    <x:row r="194">
      <x:c r="M194" s="37"/>
    </x:row>
    <x:row r="195">
      <x:c r="M195" s="37"/>
    </x:row>
    <x:row r="196">
      <x:c r="M196" s="37"/>
    </x:row>
    <x:row r="197">
      <x:c r="M197" s="37"/>
    </x:row>
    <x:row r="198">
      <x:c r="M198" s="37"/>
    </x:row>
    <x:row r="199">
      <x:c r="M199" s="37"/>
    </x:row>
    <x:row r="200">
      <x:c r="M200" s="37"/>
    </x:row>
    <x:row r="201">
      <x:c r="M201" s="37"/>
    </x:row>
    <x:row r="202">
      <x:c r="M202" s="37"/>
    </x:row>
    <x:row r="203">
      <x:c r="M203" s="37"/>
    </x:row>
    <x:row r="204">
      <x:c r="M204" s="37"/>
    </x:row>
    <x:row r="205">
      <x:c r="M205" s="37"/>
    </x:row>
    <x:row r="206">
      <x:c r="M206" s="37"/>
    </x:row>
    <x:row r="207">
      <x:c r="M207" s="37"/>
    </x:row>
    <x:row r="208">
      <x:c r="M208" s="37"/>
    </x:row>
    <x:row r="209">
      <x:c r="M209" s="37"/>
    </x:row>
    <x:row r="210">
      <x:c r="M210" s="37"/>
    </x:row>
    <x:row r="211">
      <x:c r="M211" s="37"/>
    </x:row>
    <x:row r="212">
      <x:c r="M212" s="37"/>
    </x:row>
    <x:row r="213">
      <x:c r="M213" s="37"/>
    </x:row>
    <x:row r="214">
      <x:c r="M214" s="37"/>
    </x:row>
    <x:row r="215">
      <x:c r="M215" s="37"/>
    </x:row>
    <x:row r="216">
      <x:c r="M216" s="37"/>
    </x:row>
    <x:row r="217">
      <x:c r="M217" s="37"/>
    </x:row>
    <x:row r="218">
      <x:c r="M218" s="37"/>
    </x:row>
    <x:row r="219">
      <x:c r="M219" s="37"/>
    </x:row>
    <x:row r="220">
      <x:c r="M220" s="37"/>
    </x:row>
    <x:row r="221">
      <x:c r="M221" s="37"/>
    </x:row>
    <x:row r="222">
      <x:c r="M222" s="37"/>
    </x:row>
    <x:row r="223">
      <x:c r="M223" s="37"/>
    </x:row>
    <x:row r="224">
      <x:c r="M224" s="37"/>
    </x:row>
    <x:row r="225">
      <x:c r="M225" s="37"/>
    </x:row>
    <x:row r="226">
      <x:c r="M226" s="37"/>
    </x:row>
    <x:row r="227">
      <x:c r="M227" s="37"/>
    </x:row>
    <x:row r="228">
      <x:c r="M228" s="37"/>
    </x:row>
    <x:row r="229">
      <x:c r="M229" s="37"/>
    </x:row>
    <x:row r="230">
      <x:c r="M230" s="37"/>
    </x:row>
    <x:row r="231">
      <x:c r="M231" s="37"/>
    </x:row>
    <x:row r="232">
      <x:c r="M232" s="37"/>
    </x:row>
    <x:row r="233">
      <x:c r="M233" s="37"/>
    </x:row>
    <x:row r="234">
      <x:c r="M234" s="37"/>
    </x:row>
    <x:row r="235">
      <x:c r="M235" s="37"/>
    </x:row>
    <x:row r="236">
      <x:c r="M236" s="37"/>
    </x:row>
    <x:row r="237">
      <x:c r="M237" s="37"/>
    </x:row>
    <x:row r="238">
      <x:c r="M238" s="37"/>
    </x:row>
    <x:row r="239">
      <x:c r="M239" s="37"/>
    </x:row>
    <x:row r="240">
      <x:c r="M240" s="37"/>
    </x:row>
    <x:row r="241">
      <x:c r="M241" s="37"/>
    </x:row>
    <x:row r="242">
      <x:c r="M242" s="37"/>
    </x:row>
    <x:row r="243">
      <x:c r="M243" s="37"/>
    </x:row>
    <x:row r="244">
      <x:c r="M244" s="37"/>
    </x:row>
    <x:row r="245">
      <x:c r="M245" s="37"/>
    </x:row>
    <x:row r="246">
      <x:c r="M246" s="37"/>
    </x:row>
    <x:row r="247">
      <x:c r="M247" s="37"/>
    </x:row>
    <x:row r="248">
      <x:c r="M248" s="37"/>
    </x:row>
    <x:row r="249">
      <x:c r="M249" s="37"/>
    </x:row>
    <x:row r="250">
      <x:c r="M250" s="37"/>
    </x:row>
    <x:row r="251">
      <x:c r="M251" s="37"/>
    </x:row>
    <x:row r="252">
      <x:c r="M252" s="37"/>
    </x:row>
    <x:row r="253">
      <x:c r="M253" s="37"/>
    </x:row>
    <x:row r="254">
      <x:c r="M254" s="37"/>
    </x:row>
    <x:row r="255">
      <x:c r="M255" s="37"/>
    </x:row>
    <x:row r="256">
      <x:c r="M256" s="37"/>
    </x:row>
    <x:row r="257">
      <x:c r="M257" s="37"/>
    </x:row>
    <x:row r="258">
      <x:c r="M258" s="37"/>
    </x:row>
    <x:row r="259">
      <x:c r="M259" s="37"/>
    </x:row>
    <x:row r="260">
      <x:c r="M260" s="37"/>
    </x:row>
    <x:row r="261">
      <x:c r="M261" s="37"/>
    </x:row>
    <x:row r="262">
      <x:c r="M262" s="37"/>
    </x:row>
    <x:row r="263">
      <x:c r="M263" s="37"/>
    </x:row>
    <x:row r="264">
      <x:c r="M264" s="37"/>
    </x:row>
    <x:row r="265">
      <x:c r="M265" s="37"/>
    </x:row>
    <x:row r="266">
      <x:c r="M266" s="37"/>
    </x:row>
    <x:row r="267">
      <x:c r="M267" s="37"/>
    </x:row>
    <x:row r="268">
      <x:c r="M268" s="37"/>
    </x:row>
    <x:row r="269">
      <x:c r="M269" s="37"/>
    </x:row>
    <x:row r="270">
      <x:c r="M270" s="37"/>
    </x:row>
    <x:row r="271">
      <x:c r="M271" s="37"/>
    </x:row>
    <x:row r="272">
      <x:c r="M272" s="37"/>
    </x:row>
    <x:row r="273">
      <x:c r="M273" s="37"/>
    </x:row>
    <x:row r="274">
      <x:c r="M274" s="37"/>
    </x:row>
    <x:row r="275">
      <x:c r="M275" s="37"/>
    </x:row>
    <x:row r="276">
      <x:c r="M276" s="37"/>
    </x:row>
    <x:row r="277">
      <x:c r="M277" s="37"/>
    </x:row>
    <x:row r="278">
      <x:c r="M278" s="37"/>
    </x:row>
    <x:row r="279">
      <x:c r="M279" s="37"/>
    </x:row>
    <x:row r="280">
      <x:c r="M280" s="37"/>
    </x:row>
    <x:row r="281">
      <x:c r="M281" s="37"/>
    </x:row>
    <x:row r="282">
      <x:c r="M282" s="37"/>
    </x:row>
    <x:row r="283">
      <x:c r="M283" s="37"/>
    </x:row>
    <x:row r="284">
      <x:c r="M284" s="37"/>
    </x:row>
    <x:row r="285">
      <x:c r="M285" s="37"/>
    </x:row>
    <x:row r="286">
      <x:c r="M286" s="37"/>
    </x:row>
    <x:row r="287">
      <x:c r="M287" s="37"/>
    </x:row>
    <x:row r="288">
      <x:c r="M288" s="37"/>
    </x:row>
    <x:row r="289">
      <x:c r="M289" s="37"/>
    </x:row>
    <x:row r="290">
      <x:c r="M290" s="37"/>
    </x:row>
    <x:row r="291">
      <x:c r="M291" s="37"/>
    </x:row>
    <x:row r="292">
      <x:c r="M292" s="37"/>
    </x:row>
    <x:row r="293">
      <x:c r="M293" s="37"/>
    </x:row>
    <x:row r="294">
      <x:c r="M294" s="37"/>
    </x:row>
    <x:row r="295">
      <x:c r="M295" s="37"/>
    </x:row>
    <x:row r="296">
      <x:c r="M296" s="37"/>
    </x:row>
    <x:row r="297">
      <x:c r="M297" s="37"/>
    </x:row>
    <x:row r="298">
      <x:c r="M298" s="37"/>
    </x:row>
    <x:row r="299">
      <x:c r="M299" s="37"/>
    </x:row>
    <x:row r="300">
      <x:c r="M300" s="37"/>
    </x:row>
    <x:row r="301">
      <x:c r="M301" s="37"/>
    </x:row>
    <x:row r="302">
      <x:c r="M302" s="37"/>
    </x:row>
    <x:row r="303">
      <x:c r="M303" s="37"/>
    </x:row>
    <x:row r="304">
      <x:c r="M304" s="37"/>
    </x:row>
    <x:row r="305">
      <x:c r="M305" s="37"/>
    </x:row>
    <x:row r="306">
      <x:c r="M306" s="37"/>
    </x:row>
    <x:row r="307">
      <x:c r="M307" s="37"/>
    </x:row>
    <x:row r="308">
      <x:c r="M308" s="37"/>
    </x:row>
    <x:row r="309">
      <x:c r="M309" s="37"/>
    </x:row>
    <x:row r="310">
      <x:c r="M310" s="37"/>
    </x:row>
    <x:row r="311">
      <x:c r="M311" s="37"/>
    </x:row>
    <x:row r="312">
      <x:c r="M312" s="37"/>
    </x:row>
    <x:row r="313">
      <x:c r="M313" s="37"/>
    </x:row>
    <x:row r="314">
      <x:c r="M314" s="37"/>
    </x:row>
    <x:row r="315">
      <x:c r="M315" s="37"/>
    </x:row>
    <x:row r="316">
      <x:c r="M316" s="37"/>
    </x:row>
    <x:row r="317">
      <x:c r="M317" s="37"/>
    </x:row>
    <x:row r="318">
      <x:c r="M318" s="37"/>
    </x:row>
    <x:row r="319">
      <x:c r="M319" s="37"/>
    </x:row>
    <x:row r="320">
      <x:c r="M320" s="37"/>
    </x:row>
    <x:row r="321">
      <x:c r="M321" s="37"/>
    </x:row>
    <x:row r="322">
      <x:c r="M322" s="37"/>
    </x:row>
    <x:row r="323">
      <x:c r="M323" s="37"/>
    </x:row>
    <x:row r="324">
      <x:c r="M324" s="37"/>
    </x:row>
    <x:row r="325">
      <x:c r="M325" s="37"/>
    </x:row>
    <x:row r="326">
      <x:c r="M326" s="37"/>
    </x:row>
    <x:row r="327">
      <x:c r="M327" s="37"/>
    </x:row>
    <x:row r="328">
      <x:c r="M328" s="37"/>
    </x:row>
    <x:row r="329">
      <x:c r="M329" s="37"/>
    </x:row>
    <x:row r="330">
      <x:c r="M330" s="37"/>
    </x:row>
    <x:row r="331">
      <x:c r="M331" s="37"/>
    </x:row>
    <x:row r="332">
      <x:c r="M332" s="37"/>
    </x:row>
    <x:row r="333">
      <x:c r="M333" s="37"/>
    </x:row>
    <x:row r="334">
      <x:c r="M334" s="37"/>
    </x:row>
    <x:row r="335">
      <x:c r="M335" s="37"/>
    </x:row>
    <x:row r="336">
      <x:c r="M336" s="37"/>
    </x:row>
    <x:row r="337">
      <x:c r="M337" s="37"/>
    </x:row>
    <x:row r="338">
      <x:c r="M338" s="37"/>
    </x:row>
    <x:row r="339">
      <x:c r="M339" s="37"/>
    </x:row>
    <x:row r="340">
      <x:c r="M340" s="37"/>
    </x:row>
    <x:row r="341">
      <x:c r="M341" s="37"/>
    </x:row>
    <x:row r="342">
      <x:c r="M342" s="37"/>
    </x:row>
    <x:row r="343">
      <x:c r="M343" s="37"/>
    </x:row>
    <x:row r="344">
      <x:c r="M344" s="37"/>
    </x:row>
    <x:row r="345">
      <x:c r="M345" s="37"/>
    </x:row>
    <x:row r="346">
      <x:c r="M346" s="37"/>
    </x:row>
    <x:row r="347">
      <x:c r="M347" s="37"/>
    </x:row>
    <x:row r="348">
      <x:c r="M348" s="37"/>
    </x:row>
    <x:row r="349">
      <x:c r="M349" s="37"/>
    </x:row>
    <x:row r="350">
      <x:c r="M350" s="37"/>
    </x:row>
    <x:row r="351">
      <x:c r="M351" s="37"/>
    </x:row>
    <x:row r="352">
      <x:c r="M352" s="37"/>
    </x:row>
    <x:row r="353">
      <x:c r="M353" s="37"/>
    </x:row>
    <x:row r="354">
      <x:c r="M354" s="37"/>
    </x:row>
    <x:row r="355">
      <x:c r="M355" s="37"/>
    </x:row>
    <x:row r="356">
      <x:c r="M356" s="37"/>
    </x:row>
    <x:row r="357">
      <x:c r="M357" s="37"/>
    </x:row>
    <x:row r="358">
      <x:c r="M358" s="37"/>
    </x:row>
    <x:row r="359">
      <x:c r="M359" s="37"/>
    </x:row>
    <x:row r="360">
      <x:c r="M360" s="37"/>
    </x:row>
    <x:row r="361">
      <x:c r="M361" s="37"/>
    </x:row>
    <x:row r="362">
      <x:c r="M362" s="37"/>
    </x:row>
    <x:row r="363">
      <x:c r="M363" s="37"/>
    </x:row>
    <x:row r="364">
      <x:c r="M364" s="37"/>
    </x:row>
    <x:row r="365">
      <x:c r="M365" s="37"/>
    </x:row>
    <x:row r="366">
      <x:c r="M366" s="37"/>
    </x:row>
    <x:row r="367">
      <x:c r="M367" s="37"/>
    </x:row>
    <x:row r="368">
      <x:c r="M368" s="37"/>
    </x:row>
    <x:row r="369">
      <x:c r="M369" s="37"/>
    </x:row>
    <x:row r="370">
      <x:c r="M370" s="37"/>
    </x:row>
    <x:row r="371">
      <x:c r="M371" s="37"/>
    </x:row>
    <x:row r="372">
      <x:c r="M372" s="37"/>
    </x:row>
    <x:row r="373">
      <x:c r="M373" s="37"/>
    </x:row>
    <x:row r="374">
      <x:c r="M374" s="37"/>
    </x:row>
    <x:row r="375">
      <x:c r="M375" s="37"/>
    </x:row>
    <x:row r="376">
      <x:c r="M376" s="37"/>
    </x:row>
    <x:row r="377">
      <x:c r="M377" s="37"/>
    </x:row>
    <x:row r="378">
      <x:c r="M378" s="37"/>
    </x:row>
    <x:row r="379">
      <x:c r="M379" s="37"/>
    </x:row>
    <x:row r="380">
      <x:c r="M380" s="37"/>
    </x:row>
    <x:row r="381">
      <x:c r="M381" s="37"/>
    </x:row>
    <x:row r="382">
      <x:c r="M382" s="37"/>
    </x:row>
    <x:row r="383">
      <x:c r="M383" s="37"/>
    </x:row>
    <x:row r="384">
      <x:c r="M384" s="37"/>
    </x:row>
    <x:row r="385">
      <x:c r="M385" s="37"/>
    </x:row>
    <x:row r="386">
      <x:c r="M386" s="37"/>
    </x:row>
    <x:row r="387">
      <x:c r="M387" s="37"/>
    </x:row>
    <x:row r="388">
      <x:c r="M388" s="37"/>
    </x:row>
    <x:row r="389">
      <x:c r="M389" s="37"/>
    </x:row>
    <x:row r="390">
      <x:c r="M390" s="37"/>
    </x:row>
    <x:row r="391">
      <x:c r="M391" s="37"/>
    </x:row>
    <x:row r="392">
      <x:c r="M392" s="37"/>
    </x:row>
    <x:row r="393">
      <x:c r="M393" s="37"/>
    </x:row>
    <x:row r="394">
      <x:c r="M394" s="37"/>
    </x:row>
    <x:row r="395">
      <x:c r="M395" s="37"/>
    </x:row>
    <x:row r="396">
      <x:c r="M396" s="37"/>
    </x:row>
    <x:row r="397">
      <x:c r="M397" s="37"/>
    </x:row>
    <x:row r="398">
      <x:c r="M398" s="37"/>
    </x:row>
    <x:row r="399">
      <x:c r="M399" s="37"/>
    </x:row>
    <x:row r="400">
      <x:c r="M400" s="37"/>
    </x:row>
    <x:row r="401">
      <x:c r="M401" s="37"/>
    </x:row>
    <x:row r="402">
      <x:c r="M402" s="37"/>
    </x:row>
    <x:row r="403">
      <x:c r="M403" s="37"/>
    </x:row>
    <x:row r="404">
      <x:c r="M404" s="37"/>
    </x:row>
    <x:row r="405">
      <x:c r="M405" s="37"/>
    </x:row>
    <x:row r="406">
      <x:c r="M406" s="37"/>
    </x:row>
    <x:row r="407">
      <x:c r="M407" s="37"/>
    </x:row>
    <x:row r="408">
      <x:c r="M408" s="37"/>
    </x:row>
    <x:row r="409">
      <x:c r="M409" s="37"/>
    </x:row>
    <x:row r="410">
      <x:c r="M410" s="37"/>
    </x:row>
    <x:row r="411">
      <x:c r="M411" s="37"/>
    </x:row>
    <x:row r="412">
      <x:c r="M412" s="37"/>
    </x:row>
    <x:row r="413">
      <x:c r="M413" s="37"/>
    </x:row>
    <x:row r="414">
      <x:c r="M414" s="37"/>
    </x:row>
    <x:row r="415">
      <x:c r="M415" s="37"/>
    </x:row>
    <x:row r="416">
      <x:c r="M416" s="37"/>
    </x:row>
    <x:row r="417">
      <x:c r="M417" s="37"/>
    </x:row>
    <x:row r="418">
      <x:c r="M418" s="37"/>
    </x:row>
    <x:row r="419">
      <x:c r="M419" s="37"/>
    </x:row>
    <x:row r="420">
      <x:c r="M420" s="37"/>
    </x:row>
    <x:row r="421">
      <x:c r="M421" s="37"/>
    </x:row>
    <x:row r="422">
      <x:c r="M422" s="37"/>
    </x:row>
    <x:row r="423">
      <x:c r="M423" s="37"/>
    </x:row>
    <x:row r="424">
      <x:c r="M424" s="37"/>
    </x:row>
    <x:row r="425">
      <x:c r="M425" s="37"/>
    </x:row>
    <x:row r="426">
      <x:c r="M426" s="37"/>
    </x:row>
    <x:row r="427">
      <x:c r="M427" s="37"/>
    </x:row>
    <x:row r="428">
      <x:c r="M428" s="37"/>
    </x:row>
    <x:row r="429">
      <x:c r="M429" s="37"/>
    </x:row>
    <x:row r="430">
      <x:c r="M430" s="37"/>
    </x:row>
    <x:row r="431">
      <x:c r="M431" s="37"/>
    </x:row>
    <x:row r="432">
      <x:c r="M432" s="37"/>
    </x:row>
    <x:row r="433">
      <x:c r="M433" s="37"/>
    </x:row>
    <x:row r="434">
      <x:c r="M434" s="37"/>
    </x:row>
    <x:row r="435">
      <x:c r="M435" s="37"/>
    </x:row>
    <x:row r="436">
      <x:c r="M436" s="37"/>
    </x:row>
    <x:row r="437">
      <x:c r="M437" s="37"/>
    </x:row>
    <x:row r="438">
      <x:c r="M438" s="37"/>
    </x:row>
    <x:row r="439">
      <x:c r="M439" s="37"/>
    </x:row>
    <x:row r="440">
      <x:c r="M440" s="37"/>
    </x:row>
    <x:row r="441">
      <x:c r="M441" s="37"/>
    </x:row>
    <x:row r="442">
      <x:c r="M442" s="37"/>
    </x:row>
    <x:row r="443">
      <x:c r="M443" s="37"/>
    </x:row>
    <x:row r="444">
      <x:c r="M444" s="37"/>
    </x:row>
    <x:row r="445">
      <x:c r="M445" s="37"/>
    </x:row>
    <x:row r="446">
      <x:c r="M446" s="37"/>
    </x:row>
    <x:row r="447">
      <x:c r="M447" s="37"/>
    </x:row>
    <x:row r="448">
      <x:c r="M448" s="37"/>
    </x:row>
    <x:row r="449">
      <x:c r="M449" s="37"/>
    </x:row>
    <x:row r="450">
      <x:c r="M450" s="37"/>
    </x:row>
    <x:row r="451">
      <x:c r="M451" s="37"/>
    </x:row>
    <x:row r="452">
      <x:c r="M452" s="37"/>
    </x:row>
    <x:row r="453">
      <x:c r="M453" s="37"/>
    </x:row>
    <x:row r="454">
      <x:c r="M454" s="37"/>
    </x:row>
    <x:row r="455">
      <x:c r="M455" s="37"/>
    </x:row>
    <x:row r="456">
      <x:c r="M456" s="37"/>
    </x:row>
    <x:row r="457">
      <x:c r="M457" s="37"/>
    </x:row>
    <x:row r="458">
      <x:c r="M458" s="37"/>
    </x:row>
    <x:row r="459">
      <x:c r="M459" s="37"/>
    </x:row>
    <x:row r="460">
      <x:c r="M460" s="37"/>
    </x:row>
    <x:row r="461">
      <x:c r="M461" s="37"/>
    </x:row>
    <x:row r="462">
      <x:c r="M462" s="37"/>
    </x:row>
    <x:row r="463">
      <x:c r="M463" s="37"/>
    </x:row>
    <x:row r="464">
      <x:c r="M464" s="37"/>
    </x:row>
    <x:row r="465">
      <x:c r="M465" s="37"/>
    </x:row>
    <x:row r="466">
      <x:c r="M466" s="37"/>
    </x:row>
    <x:row r="467">
      <x:c r="M467" s="37"/>
    </x:row>
    <x:row r="468">
      <x:c r="M468" s="37"/>
    </x:row>
    <x:row r="469">
      <x:c r="M469" s="37"/>
    </x:row>
    <x:row r="470">
      <x:c r="M470" s="37"/>
    </x:row>
    <x:row r="471">
      <x:c r="M471" s="37"/>
    </x:row>
    <x:row r="472">
      <x:c r="M472" s="37"/>
    </x:row>
    <x:row r="473">
      <x:c r="M473" s="37"/>
    </x:row>
    <x:row r="474">
      <x:c r="M474" s="37"/>
    </x:row>
    <x:row r="475">
      <x:c r="M475" s="37"/>
    </x:row>
    <x:row r="476">
      <x:c r="M476" s="37"/>
    </x:row>
    <x:row r="477">
      <x:c r="M477" s="37"/>
    </x:row>
    <x:row r="478">
      <x:c r="M478" s="37"/>
    </x:row>
    <x:row r="479">
      <x:c r="M479" s="37"/>
    </x:row>
    <x:row r="480">
      <x:c r="M480" s="37"/>
    </x:row>
    <x:row r="481">
      <x:c r="M481" s="37"/>
    </x:row>
    <x:row r="482">
      <x:c r="M482" s="37"/>
    </x:row>
    <x:row r="483">
      <x:c r="M483" s="37"/>
    </x:row>
    <x:row r="484">
      <x:c r="M484" s="37"/>
    </x:row>
    <x:row r="485">
      <x:c r="M485" s="37"/>
    </x:row>
    <x:row r="486">
      <x:c r="M486" s="37"/>
    </x:row>
    <x:row r="487">
      <x:c r="M487" s="37"/>
    </x:row>
    <x:row r="488">
      <x:c r="M488" s="37"/>
    </x:row>
    <x:row r="489">
      <x:c r="M489" s="37"/>
    </x:row>
    <x:row r="490">
      <x:c r="M490" s="37"/>
    </x:row>
    <x:row r="491">
      <x:c r="M491" s="37"/>
    </x:row>
    <x:row r="492">
      <x:c r="M492" s="37"/>
    </x:row>
    <x:row r="493">
      <x:c r="M493" s="37"/>
    </x:row>
    <x:row r="494">
      <x:c r="M494" s="37"/>
    </x:row>
    <x:row r="495">
      <x:c r="M495" s="37"/>
    </x:row>
    <x:row r="496">
      <x:c r="M496" s="37"/>
    </x:row>
    <x:row r="497">
      <x:c r="M497" s="37"/>
    </x:row>
    <x:row r="498">
      <x:c r="M498" s="37"/>
    </x:row>
    <x:row r="499">
      <x:c r="M499" s="37"/>
    </x:row>
    <x:row r="500">
      <x:c r="M500" s="37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78626e7e5994dd0"/>
  </x:tableParts>
</x:worksheet>
</file>